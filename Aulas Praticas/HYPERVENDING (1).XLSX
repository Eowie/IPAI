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Castro\Desktop\IPAI\Lab\lab4\"/>
    </mc:Choice>
  </mc:AlternateContent>
  <xr:revisionPtr revIDLastSave="0" documentId="13_ncr:1_{37787C43-47C9-4793-84A9-E6757C73322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1" r:id="rId1"/>
    <sheet name="factsTable" sheetId="7" r:id="rId2"/>
    <sheet name="dimDate" sheetId="2" r:id="rId3"/>
    <sheet name="dimProduct" sheetId="6" r:id="rId4"/>
    <sheet name="dimStore" sheetId="4" r:id="rId5"/>
    <sheet name="dimCostumer" sheetId="5" r:id="rId6"/>
    <sheet name="auxiliar" sheetId="3" r:id="rId7"/>
  </sheets>
  <definedNames>
    <definedName name="_xlnm._FilterDatabase" localSheetId="2" hidden="1">dimDate!$B$2:$B$340</definedName>
    <definedName name="meses">auxiliar!$B$3:$C$14</definedName>
    <definedName name="season">auxiliar!$E$3:$F$14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" i="2"/>
</calcChain>
</file>

<file path=xl/sharedStrings.xml><?xml version="1.0" encoding="utf-8"?>
<sst xmlns="http://schemas.openxmlformats.org/spreadsheetml/2006/main" count="1541" uniqueCount="119">
  <si>
    <t>Porto</t>
  </si>
  <si>
    <t>Paris</t>
  </si>
  <si>
    <t>Madrid</t>
  </si>
  <si>
    <t>Barcelona</t>
  </si>
  <si>
    <t>Coimbra</t>
  </si>
  <si>
    <t>EmpSocor</t>
  </si>
  <si>
    <t>CPPO Int.</t>
  </si>
  <si>
    <t>SONAC</t>
  </si>
  <si>
    <t>José Malhoa, Lda</t>
  </si>
  <si>
    <t>DISONI, SA</t>
  </si>
  <si>
    <t>MSI Ent</t>
  </si>
  <si>
    <t>Lisbon Consulting</t>
  </si>
  <si>
    <t>Dist Mecano</t>
  </si>
  <si>
    <t>Joe Doe &amp; Assoc.</t>
  </si>
  <si>
    <t>Mercatlon</t>
  </si>
  <si>
    <t>Int. Machines</t>
  </si>
  <si>
    <t>Mercotex</t>
  </si>
  <si>
    <t>Silva, Silva e Silva</t>
  </si>
  <si>
    <t>Neural Works, Intl</t>
  </si>
  <si>
    <t>Gurgle Searches</t>
  </si>
  <si>
    <t>Frankenstein and Sons</t>
  </si>
  <si>
    <t>h4xOR b0yZ, Intl</t>
  </si>
  <si>
    <t>MyCO Inf. Systems</t>
  </si>
  <si>
    <t>GIGO-FIFO SA</t>
  </si>
  <si>
    <t>Huey, Dewey and Louie</t>
  </si>
  <si>
    <t>Light</t>
  </si>
  <si>
    <t>Junior</t>
  </si>
  <si>
    <t>Cola</t>
  </si>
  <si>
    <t>Capuccino</t>
  </si>
  <si>
    <t>Quality</t>
  </si>
  <si>
    <t>Date</t>
  </si>
  <si>
    <t>Store</t>
  </si>
  <si>
    <t>Line</t>
  </si>
  <si>
    <t>Product</t>
  </si>
  <si>
    <t>Units</t>
  </si>
  <si>
    <t>Family</t>
  </si>
  <si>
    <t>Lisbon</t>
  </si>
  <si>
    <t>London</t>
  </si>
  <si>
    <t>Soup</t>
  </si>
  <si>
    <t>Water</t>
  </si>
  <si>
    <t>Coffee</t>
  </si>
  <si>
    <t>Tea</t>
  </si>
  <si>
    <t>Customer</t>
  </si>
  <si>
    <t>Cocoa</t>
  </si>
  <si>
    <t>Euros</t>
  </si>
  <si>
    <t>Date Key</t>
  </si>
  <si>
    <t>Year</t>
  </si>
  <si>
    <t>Semester</t>
  </si>
  <si>
    <t>Month of the Year</t>
  </si>
  <si>
    <t>Month Name</t>
  </si>
  <si>
    <t>Season</t>
  </si>
  <si>
    <t>Week of Year</t>
  </si>
  <si>
    <t>Day of the Week</t>
  </si>
  <si>
    <t>Weekend Indicator</t>
  </si>
  <si>
    <t>Hour of Day</t>
  </si>
  <si>
    <t>Minite in Hour</t>
  </si>
  <si>
    <t>Part of Day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</si>
  <si>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</si>
  <si>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</si>
  <si>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</si>
  <si>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</si>
  <si>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</si>
  <si>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</si>
  <si>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</si>
  <si>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</si>
  <si>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</si>
  <si>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</si>
  <si>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</si>
  <si>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</si>
  <si>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</si>
  <si>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Store Key</t>
  </si>
  <si>
    <t>Store Country</t>
  </si>
  <si>
    <t>Store in Iberia</t>
  </si>
  <si>
    <t>France</t>
  </si>
  <si>
    <t>Spain</t>
  </si>
  <si>
    <t>Portugal</t>
  </si>
  <si>
    <t>England</t>
  </si>
  <si>
    <t>Costumer Key</t>
  </si>
  <si>
    <t>season</t>
  </si>
  <si>
    <t>Winter</t>
  </si>
  <si>
    <t>Sping</t>
  </si>
  <si>
    <t>Summer</t>
  </si>
  <si>
    <t>Fall</t>
  </si>
  <si>
    <t>Product Key</t>
  </si>
  <si>
    <t>LineProduct Reference</t>
  </si>
  <si>
    <t>FamilyWater</t>
  </si>
  <si>
    <t>FamilyCocoa</t>
  </si>
  <si>
    <t>FamilyCoffee</t>
  </si>
  <si>
    <t>FamilyCapuccino</t>
  </si>
  <si>
    <t>FamilyTea</t>
  </si>
  <si>
    <t>FamilyCola</t>
  </si>
  <si>
    <t>FamilySoup</t>
  </si>
  <si>
    <t>JuniorWater</t>
  </si>
  <si>
    <t>JuniorCocoa</t>
  </si>
  <si>
    <t>JuniorCoffee</t>
  </si>
  <si>
    <t>JuniorCapuccino</t>
  </si>
  <si>
    <t>JuniorTea</t>
  </si>
  <si>
    <t>JuniorCola</t>
  </si>
  <si>
    <t>JuniorSoup</t>
  </si>
  <si>
    <t>LightWater</t>
  </si>
  <si>
    <t>LightCocoa</t>
  </si>
  <si>
    <t>LightCoffee</t>
  </si>
  <si>
    <t>LightCapuccino</t>
  </si>
  <si>
    <t>LightTea</t>
  </si>
  <si>
    <t>LightCola</t>
  </si>
  <si>
    <t>LightSoup</t>
  </si>
  <si>
    <t>QualityWater</t>
  </si>
  <si>
    <t>QualityCocoa</t>
  </si>
  <si>
    <t>QualityCoffee</t>
  </si>
  <si>
    <t>QualityCapuccino</t>
  </si>
  <si>
    <t>QualityTea</t>
  </si>
  <si>
    <t>QualityCola</t>
  </si>
  <si>
    <t>QualitySoup</t>
  </si>
  <si>
    <t>numer</t>
  </si>
  <si>
    <t>number</t>
  </si>
  <si>
    <t>Custumer Key</t>
  </si>
  <si>
    <t>Sales Unit</t>
  </si>
  <si>
    <t>Sales Euros</t>
  </si>
  <si>
    <t>original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</si>
</sst>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40"/>
  <sheetViews>
    <sheetView workbookViewId="0">
      <selection activeCell="E1" sqref="E1:F1048576"/>
    </sheetView>
  </sheetViews>
  <sheetFormatPr defaultColWidth="8.85546875" defaultRowHeight="12.75" x14ac:dyDescent="0.2"/>
  <cols>
    <col min="1" max="1" width="2.7109375" customWidth="1"/>
    <col min="2" max="2" width="18.140625" bestFit="1" customWidth="1"/>
    <col min="3" max="3" width="9.28515625" bestFit="1" customWidth="1"/>
    <col min="4" max="4" width="20.85546875" bestFit="1" customWidth="1"/>
    <col min="5" max="5" width="6.85546875" bestFit="1" customWidth="1"/>
    <col min="6" max="6" width="9.7109375" bestFit="1" customWidth="1"/>
    <col min="7" max="7" width="5.42578125" bestFit="1" customWidth="1"/>
    <col min="8" max="8" width="7.42578125" style="2" bestFit="1" customWidth="1"/>
    <col min="9" max="9" width="2.7109375" customWidth="1"/>
  </cols>
  <sheetData>
    <row r="2" spans="2:8" s="1" customFormat="1" x14ac:dyDescent="0.2">
      <c r="B2" s="1" t="s">
        <v>30</v>
      </c>
      <c r="C2" s="1" t="s">
        <v>31</v>
      </c>
      <c r="D2" s="1" t="s">
        <v>42</v>
      </c>
      <c r="E2" s="1" t="s">
        <v>32</v>
      </c>
      <c r="F2" s="1" t="s">
        <v>33</v>
      </c>
      <c r="G2" s="4" t="s">
        <v>34</v>
      </c>
      <c r="H2" s="3" t="s">
        <v>44</v>
      </c>
    </row>
    <row r="3" spans="2:8" x14ac:dyDescent="0.2">
      <c r="B3" s="5">
        <v>38429.149979887741</v>
      </c>
      <c r="C3" t="s">
        <v>1</v>
      </c>
      <c r="D3" t="s">
        <v>14</v>
      </c>
      <c r="E3" t="s">
        <v>35</v>
      </c>
      <c r="F3" t="s">
        <v>39</v>
      </c>
      <c r="G3">
        <v>410</v>
      </c>
      <c r="H3" s="2">
        <v>365.11</v>
      </c>
    </row>
    <row r="4" spans="2:8" x14ac:dyDescent="0.2">
      <c r="B4" s="5">
        <v>38449.930039168656</v>
      </c>
      <c r="C4" t="s">
        <v>2</v>
      </c>
      <c r="D4" t="s">
        <v>14</v>
      </c>
      <c r="E4" t="s">
        <v>35</v>
      </c>
      <c r="F4" t="s">
        <v>39</v>
      </c>
      <c r="G4">
        <v>260</v>
      </c>
      <c r="H4" s="2">
        <v>168.83</v>
      </c>
    </row>
    <row r="5" spans="2:8" x14ac:dyDescent="0.2">
      <c r="B5" s="5">
        <v>38476.722621370413</v>
      </c>
      <c r="C5" t="s">
        <v>2</v>
      </c>
      <c r="D5" t="s">
        <v>11</v>
      </c>
      <c r="E5" t="s">
        <v>35</v>
      </c>
      <c r="F5" t="s">
        <v>39</v>
      </c>
      <c r="G5">
        <v>60</v>
      </c>
      <c r="H5" s="2">
        <v>59.69</v>
      </c>
    </row>
    <row r="6" spans="2:8" x14ac:dyDescent="0.2">
      <c r="B6" s="5">
        <v>38477.259613677117</v>
      </c>
      <c r="C6" t="s">
        <v>3</v>
      </c>
      <c r="D6" t="s">
        <v>14</v>
      </c>
      <c r="E6" t="s">
        <v>35</v>
      </c>
      <c r="F6" t="s">
        <v>39</v>
      </c>
      <c r="G6">
        <v>605</v>
      </c>
      <c r="H6" s="2">
        <v>269.79000000000002</v>
      </c>
    </row>
    <row r="7" spans="2:8" x14ac:dyDescent="0.2">
      <c r="B7" s="5">
        <v>38489.075914604022</v>
      </c>
      <c r="C7" t="s">
        <v>4</v>
      </c>
      <c r="D7" t="s">
        <v>12</v>
      </c>
      <c r="E7" t="s">
        <v>35</v>
      </c>
      <c r="F7" t="s">
        <v>39</v>
      </c>
      <c r="G7">
        <v>885</v>
      </c>
      <c r="H7" s="2">
        <v>774.86</v>
      </c>
    </row>
    <row r="8" spans="2:8" x14ac:dyDescent="0.2">
      <c r="B8" s="5">
        <v>38496.888849075796</v>
      </c>
      <c r="C8" t="s">
        <v>1</v>
      </c>
      <c r="D8" t="s">
        <v>24</v>
      </c>
      <c r="E8" t="s">
        <v>35</v>
      </c>
      <c r="F8" t="s">
        <v>39</v>
      </c>
      <c r="G8">
        <v>115</v>
      </c>
      <c r="H8" s="2">
        <v>114.09</v>
      </c>
    </row>
    <row r="9" spans="2:8" x14ac:dyDescent="0.2">
      <c r="B9" s="5">
        <v>38503.173432557211</v>
      </c>
      <c r="C9" t="s">
        <v>36</v>
      </c>
      <c r="D9" t="s">
        <v>17</v>
      </c>
      <c r="E9" t="s">
        <v>35</v>
      </c>
      <c r="F9" t="s">
        <v>39</v>
      </c>
      <c r="G9">
        <v>630</v>
      </c>
      <c r="H9" s="2">
        <v>1880.99</v>
      </c>
    </row>
    <row r="10" spans="2:8" x14ac:dyDescent="0.2">
      <c r="B10" s="5">
        <v>38506.423691498007</v>
      </c>
      <c r="C10" t="s">
        <v>37</v>
      </c>
      <c r="D10" t="s">
        <v>10</v>
      </c>
      <c r="E10" t="s">
        <v>35</v>
      </c>
      <c r="F10" t="s">
        <v>39</v>
      </c>
      <c r="G10">
        <v>220</v>
      </c>
      <c r="H10" s="2">
        <v>1355.42</v>
      </c>
    </row>
    <row r="11" spans="2:8" x14ac:dyDescent="0.2">
      <c r="B11" s="5">
        <v>38509.026757659543</v>
      </c>
      <c r="C11" t="s">
        <v>37</v>
      </c>
      <c r="D11" t="s">
        <v>15</v>
      </c>
      <c r="E11" t="s">
        <v>35</v>
      </c>
      <c r="F11" t="s">
        <v>39</v>
      </c>
      <c r="G11">
        <v>220</v>
      </c>
      <c r="H11" s="2">
        <v>230.43</v>
      </c>
    </row>
    <row r="12" spans="2:8" x14ac:dyDescent="0.2">
      <c r="B12" s="5">
        <v>38512.262453010328</v>
      </c>
      <c r="C12" t="s">
        <v>0</v>
      </c>
      <c r="D12" t="s">
        <v>15</v>
      </c>
      <c r="E12" t="s">
        <v>35</v>
      </c>
      <c r="F12" t="s">
        <v>39</v>
      </c>
      <c r="G12">
        <v>550</v>
      </c>
      <c r="H12" s="2">
        <v>3480.86</v>
      </c>
    </row>
    <row r="13" spans="2:8" x14ac:dyDescent="0.2">
      <c r="B13" s="5">
        <v>38512.338617434427</v>
      </c>
      <c r="C13" t="s">
        <v>2</v>
      </c>
      <c r="D13" t="s">
        <v>10</v>
      </c>
      <c r="E13" t="s">
        <v>35</v>
      </c>
      <c r="F13" t="s">
        <v>39</v>
      </c>
      <c r="G13">
        <v>205</v>
      </c>
      <c r="H13" s="2">
        <v>1274.07</v>
      </c>
    </row>
    <row r="14" spans="2:8" x14ac:dyDescent="0.2">
      <c r="B14" s="5">
        <v>38514.141112396268</v>
      </c>
      <c r="C14" t="s">
        <v>36</v>
      </c>
      <c r="D14" t="s">
        <v>12</v>
      </c>
      <c r="E14" t="s">
        <v>35</v>
      </c>
      <c r="F14" t="s">
        <v>39</v>
      </c>
      <c r="G14">
        <v>675</v>
      </c>
      <c r="H14" s="2">
        <v>601.85</v>
      </c>
    </row>
    <row r="15" spans="2:8" x14ac:dyDescent="0.2">
      <c r="B15" s="5">
        <v>38518.445572161916</v>
      </c>
      <c r="C15" t="s">
        <v>37</v>
      </c>
      <c r="D15" t="s">
        <v>14</v>
      </c>
      <c r="E15" t="s">
        <v>35</v>
      </c>
      <c r="F15" t="s">
        <v>39</v>
      </c>
      <c r="G15">
        <v>400</v>
      </c>
      <c r="H15" s="2">
        <v>272.69</v>
      </c>
    </row>
    <row r="16" spans="2:8" x14ac:dyDescent="0.2">
      <c r="B16" s="5">
        <v>38520.399370577208</v>
      </c>
      <c r="C16" t="s">
        <v>0</v>
      </c>
      <c r="D16" t="s">
        <v>14</v>
      </c>
      <c r="E16" t="s">
        <v>35</v>
      </c>
      <c r="F16" t="s">
        <v>39</v>
      </c>
      <c r="G16">
        <v>500</v>
      </c>
      <c r="H16" s="2">
        <v>2522.6799999999998</v>
      </c>
    </row>
    <row r="17" spans="2:8" x14ac:dyDescent="0.2">
      <c r="B17" s="5">
        <v>38533.613997287219</v>
      </c>
      <c r="C17" t="s">
        <v>36</v>
      </c>
      <c r="D17" t="s">
        <v>17</v>
      </c>
      <c r="E17" t="s">
        <v>35</v>
      </c>
      <c r="F17" t="s">
        <v>39</v>
      </c>
      <c r="G17">
        <v>395</v>
      </c>
      <c r="H17" s="2">
        <v>357.3</v>
      </c>
    </row>
    <row r="18" spans="2:8" x14ac:dyDescent="0.2">
      <c r="B18" s="5">
        <v>38548.521971182097</v>
      </c>
      <c r="C18" t="s">
        <v>2</v>
      </c>
      <c r="D18" t="s">
        <v>12</v>
      </c>
      <c r="E18" t="s">
        <v>35</v>
      </c>
      <c r="F18" t="s">
        <v>39</v>
      </c>
      <c r="G18">
        <v>50</v>
      </c>
      <c r="H18" s="2">
        <v>223.62</v>
      </c>
    </row>
    <row r="19" spans="2:8" x14ac:dyDescent="0.2">
      <c r="B19" s="5">
        <v>38566.841863581067</v>
      </c>
      <c r="C19" t="s">
        <v>4</v>
      </c>
      <c r="D19" t="s">
        <v>14</v>
      </c>
      <c r="E19" t="s">
        <v>35</v>
      </c>
      <c r="F19" t="s">
        <v>39</v>
      </c>
      <c r="G19">
        <v>640</v>
      </c>
      <c r="H19" s="2">
        <v>1310.98</v>
      </c>
    </row>
    <row r="20" spans="2:8" x14ac:dyDescent="0.2">
      <c r="B20" s="5">
        <v>38418.1801149393</v>
      </c>
      <c r="C20" t="s">
        <v>0</v>
      </c>
      <c r="D20" t="s">
        <v>15</v>
      </c>
      <c r="E20" t="s">
        <v>35</v>
      </c>
      <c r="F20" t="s">
        <v>43</v>
      </c>
      <c r="G20">
        <v>5</v>
      </c>
      <c r="H20" s="2">
        <v>21.89</v>
      </c>
    </row>
    <row r="21" spans="2:8" x14ac:dyDescent="0.2">
      <c r="B21" s="5">
        <v>38432.700973086314</v>
      </c>
      <c r="C21" t="s">
        <v>37</v>
      </c>
      <c r="D21" t="s">
        <v>17</v>
      </c>
      <c r="E21" t="s">
        <v>35</v>
      </c>
      <c r="F21" t="s">
        <v>43</v>
      </c>
      <c r="G21">
        <v>490</v>
      </c>
      <c r="H21" s="2">
        <v>2532.79</v>
      </c>
    </row>
    <row r="22" spans="2:8" x14ac:dyDescent="0.2">
      <c r="B22" s="5">
        <v>38443.752990675406</v>
      </c>
      <c r="C22" t="s">
        <v>2</v>
      </c>
      <c r="D22" t="s">
        <v>22</v>
      </c>
      <c r="E22" t="s">
        <v>35</v>
      </c>
      <c r="F22" t="s">
        <v>43</v>
      </c>
      <c r="G22">
        <v>410</v>
      </c>
      <c r="H22" s="2">
        <v>1848.1</v>
      </c>
    </row>
    <row r="23" spans="2:8" x14ac:dyDescent="0.2">
      <c r="B23" s="5">
        <v>38459.460679112373</v>
      </c>
      <c r="C23" t="s">
        <v>0</v>
      </c>
      <c r="D23" t="s">
        <v>20</v>
      </c>
      <c r="E23" t="s">
        <v>35</v>
      </c>
      <c r="F23" t="s">
        <v>43</v>
      </c>
      <c r="G23">
        <v>355</v>
      </c>
      <c r="H23" s="2">
        <v>1778.81</v>
      </c>
    </row>
    <row r="24" spans="2:8" x14ac:dyDescent="0.2">
      <c r="B24" s="5">
        <v>38472.960188775833</v>
      </c>
      <c r="C24" t="s">
        <v>36</v>
      </c>
      <c r="D24" t="s">
        <v>22</v>
      </c>
      <c r="E24" t="s">
        <v>35</v>
      </c>
      <c r="F24" t="s">
        <v>43</v>
      </c>
      <c r="G24">
        <v>710</v>
      </c>
      <c r="H24" s="2">
        <v>3121.89</v>
      </c>
    </row>
    <row r="25" spans="2:8" x14ac:dyDescent="0.2">
      <c r="B25" s="5">
        <v>38497.326676142555</v>
      </c>
      <c r="C25" t="s">
        <v>1</v>
      </c>
      <c r="D25" t="s">
        <v>15</v>
      </c>
      <c r="E25" t="s">
        <v>35</v>
      </c>
      <c r="F25" t="s">
        <v>43</v>
      </c>
      <c r="G25">
        <v>730</v>
      </c>
      <c r="H25" s="2">
        <v>3251.75</v>
      </c>
    </row>
    <row r="26" spans="2:8" x14ac:dyDescent="0.2">
      <c r="B26" s="5">
        <v>38498.200421790229</v>
      </c>
      <c r="C26" t="s">
        <v>1</v>
      </c>
      <c r="D26" t="s">
        <v>11</v>
      </c>
      <c r="E26" t="s">
        <v>35</v>
      </c>
      <c r="F26" t="s">
        <v>43</v>
      </c>
      <c r="G26">
        <v>655</v>
      </c>
      <c r="H26" s="2">
        <v>3063.16</v>
      </c>
    </row>
    <row r="27" spans="2:8" x14ac:dyDescent="0.2">
      <c r="B27" s="5">
        <v>38499.589934628842</v>
      </c>
      <c r="C27" t="s">
        <v>36</v>
      </c>
      <c r="D27" t="s">
        <v>6</v>
      </c>
      <c r="E27" t="s">
        <v>35</v>
      </c>
      <c r="F27" t="s">
        <v>43</v>
      </c>
      <c r="G27">
        <v>445</v>
      </c>
      <c r="H27" s="2">
        <v>2005.11</v>
      </c>
    </row>
    <row r="28" spans="2:8" x14ac:dyDescent="0.2">
      <c r="B28" s="5">
        <v>38504.635257218477</v>
      </c>
      <c r="C28" t="s">
        <v>0</v>
      </c>
      <c r="D28" t="s">
        <v>6</v>
      </c>
      <c r="E28" t="s">
        <v>35</v>
      </c>
      <c r="F28" t="s">
        <v>43</v>
      </c>
      <c r="G28">
        <v>410</v>
      </c>
      <c r="H28" s="2">
        <v>1957.35</v>
      </c>
    </row>
    <row r="29" spans="2:8" x14ac:dyDescent="0.2">
      <c r="B29" s="5">
        <v>38529.303757611749</v>
      </c>
      <c r="C29" t="s">
        <v>0</v>
      </c>
      <c r="D29" t="s">
        <v>12</v>
      </c>
      <c r="E29" t="s">
        <v>35</v>
      </c>
      <c r="F29" t="s">
        <v>43</v>
      </c>
      <c r="G29">
        <v>325</v>
      </c>
      <c r="H29" s="2">
        <v>1704.66</v>
      </c>
    </row>
    <row r="30" spans="2:8" x14ac:dyDescent="0.2">
      <c r="B30" s="5">
        <v>38433.391879448944</v>
      </c>
      <c r="C30" t="s">
        <v>36</v>
      </c>
      <c r="D30" t="s">
        <v>15</v>
      </c>
      <c r="E30" t="s">
        <v>35</v>
      </c>
      <c r="F30" t="s">
        <v>40</v>
      </c>
      <c r="G30">
        <v>20</v>
      </c>
      <c r="H30" s="2">
        <v>35.840000000000003</v>
      </c>
    </row>
    <row r="31" spans="2:8" x14ac:dyDescent="0.2">
      <c r="B31" s="5">
        <v>38465.887519978787</v>
      </c>
      <c r="C31" t="s">
        <v>0</v>
      </c>
      <c r="D31" t="s">
        <v>6</v>
      </c>
      <c r="E31" t="s">
        <v>35</v>
      </c>
      <c r="F31" t="s">
        <v>40</v>
      </c>
      <c r="G31">
        <v>315</v>
      </c>
      <c r="H31" s="2">
        <v>572.64</v>
      </c>
    </row>
    <row r="32" spans="2:8" x14ac:dyDescent="0.2">
      <c r="B32" s="5">
        <v>38474.662930797254</v>
      </c>
      <c r="C32" t="s">
        <v>3</v>
      </c>
      <c r="D32" t="s">
        <v>14</v>
      </c>
      <c r="E32" t="s">
        <v>35</v>
      </c>
      <c r="F32" t="s">
        <v>40</v>
      </c>
      <c r="G32">
        <v>525</v>
      </c>
      <c r="H32" s="2">
        <v>1095.29</v>
      </c>
    </row>
    <row r="33" spans="2:8" x14ac:dyDescent="0.2">
      <c r="B33" s="5">
        <v>38480.605557013405</v>
      </c>
      <c r="C33" t="s">
        <v>3</v>
      </c>
      <c r="D33" t="s">
        <v>14</v>
      </c>
      <c r="E33" t="s">
        <v>35</v>
      </c>
      <c r="F33" t="s">
        <v>40</v>
      </c>
      <c r="G33">
        <v>565</v>
      </c>
      <c r="H33" s="2">
        <v>1233.01</v>
      </c>
    </row>
    <row r="34" spans="2:8" x14ac:dyDescent="0.2">
      <c r="B34" s="5">
        <v>38481.040469011852</v>
      </c>
      <c r="C34" t="s">
        <v>4</v>
      </c>
      <c r="D34" t="s">
        <v>12</v>
      </c>
      <c r="E34" t="s">
        <v>35</v>
      </c>
      <c r="F34" t="s">
        <v>40</v>
      </c>
      <c r="G34">
        <v>265</v>
      </c>
      <c r="H34" s="2">
        <v>492.34</v>
      </c>
    </row>
    <row r="35" spans="2:8" x14ac:dyDescent="0.2">
      <c r="B35" s="5">
        <v>38488.360332141267</v>
      </c>
      <c r="C35" t="s">
        <v>0</v>
      </c>
      <c r="D35" t="s">
        <v>8</v>
      </c>
      <c r="E35" t="s">
        <v>35</v>
      </c>
      <c r="F35" t="s">
        <v>40</v>
      </c>
      <c r="G35">
        <v>715</v>
      </c>
      <c r="H35" s="2">
        <v>1331.21</v>
      </c>
    </row>
    <row r="36" spans="2:8" x14ac:dyDescent="0.2">
      <c r="B36" s="5">
        <v>38503.136591256596</v>
      </c>
      <c r="C36" t="s">
        <v>1</v>
      </c>
      <c r="D36" t="s">
        <v>8</v>
      </c>
      <c r="E36" t="s">
        <v>35</v>
      </c>
      <c r="F36" t="s">
        <v>40</v>
      </c>
      <c r="G36">
        <v>855</v>
      </c>
      <c r="H36" s="2">
        <v>1751.85</v>
      </c>
    </row>
    <row r="37" spans="2:8" x14ac:dyDescent="0.2">
      <c r="B37" s="5">
        <v>38519.858648719281</v>
      </c>
      <c r="C37" t="s">
        <v>3</v>
      </c>
      <c r="D37" t="s">
        <v>24</v>
      </c>
      <c r="E37" t="s">
        <v>35</v>
      </c>
      <c r="F37" t="s">
        <v>40</v>
      </c>
      <c r="G37">
        <v>800</v>
      </c>
      <c r="H37" s="2">
        <v>1438.51</v>
      </c>
    </row>
    <row r="38" spans="2:8" x14ac:dyDescent="0.2">
      <c r="B38" s="5">
        <v>38524.953235074972</v>
      </c>
      <c r="C38" t="s">
        <v>37</v>
      </c>
      <c r="D38" t="s">
        <v>14</v>
      </c>
      <c r="E38" t="s">
        <v>35</v>
      </c>
      <c r="F38" t="s">
        <v>40</v>
      </c>
      <c r="G38">
        <v>980</v>
      </c>
      <c r="H38" s="2">
        <v>2116.87</v>
      </c>
    </row>
    <row r="39" spans="2:8" x14ac:dyDescent="0.2">
      <c r="B39" s="5">
        <v>38537.651911331006</v>
      </c>
      <c r="C39" t="s">
        <v>1</v>
      </c>
      <c r="D39" t="s">
        <v>15</v>
      </c>
      <c r="E39" t="s">
        <v>35</v>
      </c>
      <c r="F39" t="s">
        <v>40</v>
      </c>
      <c r="G39">
        <v>850</v>
      </c>
      <c r="H39" s="2">
        <v>1718.3</v>
      </c>
    </row>
    <row r="40" spans="2:8" x14ac:dyDescent="0.2">
      <c r="B40" s="5">
        <v>38541.2152804098</v>
      </c>
      <c r="C40" t="s">
        <v>0</v>
      </c>
      <c r="D40" t="s">
        <v>7</v>
      </c>
      <c r="E40" t="s">
        <v>35</v>
      </c>
      <c r="F40" t="s">
        <v>40</v>
      </c>
      <c r="G40">
        <v>205</v>
      </c>
      <c r="H40" s="2">
        <v>392.46</v>
      </c>
    </row>
    <row r="41" spans="2:8" x14ac:dyDescent="0.2">
      <c r="B41" s="5">
        <v>38566.439597705736</v>
      </c>
      <c r="C41" t="s">
        <v>0</v>
      </c>
      <c r="D41" t="s">
        <v>20</v>
      </c>
      <c r="E41" t="s">
        <v>35</v>
      </c>
      <c r="F41" t="s">
        <v>40</v>
      </c>
      <c r="G41">
        <v>940</v>
      </c>
      <c r="H41" s="2">
        <v>1826.34</v>
      </c>
    </row>
    <row r="42" spans="2:8" x14ac:dyDescent="0.2">
      <c r="B42" s="5">
        <v>38411.878229510097</v>
      </c>
      <c r="C42" t="s">
        <v>36</v>
      </c>
      <c r="D42" t="s">
        <v>17</v>
      </c>
      <c r="E42" t="s">
        <v>35</v>
      </c>
      <c r="F42" t="s">
        <v>28</v>
      </c>
      <c r="G42">
        <v>755</v>
      </c>
      <c r="H42" s="2">
        <v>2801.51</v>
      </c>
    </row>
    <row r="43" spans="2:8" x14ac:dyDescent="0.2">
      <c r="B43" s="5">
        <v>38431.998036309044</v>
      </c>
      <c r="C43" t="s">
        <v>2</v>
      </c>
      <c r="D43" t="s">
        <v>24</v>
      </c>
      <c r="E43" t="s">
        <v>35</v>
      </c>
      <c r="F43" t="s">
        <v>28</v>
      </c>
      <c r="G43">
        <v>865</v>
      </c>
      <c r="H43" s="2">
        <v>3410.77</v>
      </c>
    </row>
    <row r="44" spans="2:8" x14ac:dyDescent="0.2">
      <c r="B44" s="5">
        <v>38455.299489112374</v>
      </c>
      <c r="C44" t="s">
        <v>3</v>
      </c>
      <c r="D44" t="s">
        <v>8</v>
      </c>
      <c r="E44" t="s">
        <v>35</v>
      </c>
      <c r="F44" t="s">
        <v>28</v>
      </c>
      <c r="G44">
        <v>900</v>
      </c>
      <c r="H44" s="2">
        <v>3404.34</v>
      </c>
    </row>
    <row r="45" spans="2:8" x14ac:dyDescent="0.2">
      <c r="B45" s="5">
        <v>38462.711360584886</v>
      </c>
      <c r="C45" t="s">
        <v>2</v>
      </c>
      <c r="D45" t="s">
        <v>14</v>
      </c>
      <c r="E45" t="s">
        <v>35</v>
      </c>
      <c r="F45" t="s">
        <v>28</v>
      </c>
      <c r="G45">
        <v>450</v>
      </c>
      <c r="H45" s="2">
        <v>700.48</v>
      </c>
    </row>
    <row r="46" spans="2:8" x14ac:dyDescent="0.2">
      <c r="B46" s="5">
        <v>38469.319980600965</v>
      </c>
      <c r="C46" t="s">
        <v>0</v>
      </c>
      <c r="D46" t="s">
        <v>17</v>
      </c>
      <c r="E46" t="s">
        <v>35</v>
      </c>
      <c r="F46" t="s">
        <v>28</v>
      </c>
      <c r="G46">
        <v>90</v>
      </c>
      <c r="H46" s="2">
        <v>368.07</v>
      </c>
    </row>
    <row r="47" spans="2:8" x14ac:dyDescent="0.2">
      <c r="B47" s="5">
        <v>38473.883420847807</v>
      </c>
      <c r="C47" t="s">
        <v>0</v>
      </c>
      <c r="D47" t="s">
        <v>7</v>
      </c>
      <c r="E47" t="s">
        <v>35</v>
      </c>
      <c r="F47" t="s">
        <v>28</v>
      </c>
      <c r="G47">
        <v>995</v>
      </c>
      <c r="H47" s="2">
        <v>3829.18</v>
      </c>
    </row>
    <row r="48" spans="2:8" x14ac:dyDescent="0.2">
      <c r="B48" s="5">
        <v>38477.857156912993</v>
      </c>
      <c r="C48" t="s">
        <v>2</v>
      </c>
      <c r="D48" t="s">
        <v>24</v>
      </c>
      <c r="E48" t="s">
        <v>35</v>
      </c>
      <c r="F48" t="s">
        <v>28</v>
      </c>
      <c r="G48">
        <v>275</v>
      </c>
      <c r="H48" s="2">
        <v>992.68</v>
      </c>
    </row>
    <row r="49" spans="2:8" x14ac:dyDescent="0.2">
      <c r="B49" s="5">
        <v>38491.981922424355</v>
      </c>
      <c r="C49" t="s">
        <v>36</v>
      </c>
      <c r="D49" t="s">
        <v>10</v>
      </c>
      <c r="E49" t="s">
        <v>35</v>
      </c>
      <c r="F49" t="s">
        <v>28</v>
      </c>
      <c r="G49">
        <v>895</v>
      </c>
      <c r="H49" s="2">
        <v>3554.01</v>
      </c>
    </row>
    <row r="50" spans="2:8" x14ac:dyDescent="0.2">
      <c r="B50" s="5">
        <v>38556.158254052323</v>
      </c>
      <c r="C50" t="s">
        <v>4</v>
      </c>
      <c r="D50" t="s">
        <v>21</v>
      </c>
      <c r="E50" t="s">
        <v>35</v>
      </c>
      <c r="F50" t="s">
        <v>28</v>
      </c>
      <c r="G50">
        <v>865</v>
      </c>
      <c r="H50" s="2">
        <v>3458.58</v>
      </c>
    </row>
    <row r="51" spans="2:8" x14ac:dyDescent="0.2">
      <c r="B51" s="5">
        <v>38441.291351740379</v>
      </c>
      <c r="C51" t="s">
        <v>0</v>
      </c>
      <c r="D51" t="s">
        <v>24</v>
      </c>
      <c r="E51" t="s">
        <v>35</v>
      </c>
      <c r="F51" t="s">
        <v>41</v>
      </c>
      <c r="G51">
        <v>345</v>
      </c>
      <c r="H51" s="2">
        <v>1018.55</v>
      </c>
    </row>
    <row r="52" spans="2:8" x14ac:dyDescent="0.2">
      <c r="B52" s="5">
        <v>38456.637867283607</v>
      </c>
      <c r="C52" t="s">
        <v>37</v>
      </c>
      <c r="D52" t="s">
        <v>10</v>
      </c>
      <c r="E52" t="s">
        <v>35</v>
      </c>
      <c r="F52" t="s">
        <v>41</v>
      </c>
      <c r="G52">
        <v>410</v>
      </c>
      <c r="H52" s="2">
        <v>1281.69</v>
      </c>
    </row>
    <row r="53" spans="2:8" x14ac:dyDescent="0.2">
      <c r="B53" s="5">
        <v>38459.684477900068</v>
      </c>
      <c r="C53" t="s">
        <v>0</v>
      </c>
      <c r="D53" t="s">
        <v>8</v>
      </c>
      <c r="E53" t="s">
        <v>35</v>
      </c>
      <c r="F53" t="s">
        <v>41</v>
      </c>
      <c r="G53">
        <v>400</v>
      </c>
      <c r="H53" s="2">
        <v>1240.73</v>
      </c>
    </row>
    <row r="54" spans="2:8" x14ac:dyDescent="0.2">
      <c r="B54" s="5">
        <v>38463.129400394471</v>
      </c>
      <c r="C54" t="s">
        <v>3</v>
      </c>
      <c r="D54" t="s">
        <v>13</v>
      </c>
      <c r="E54" t="s">
        <v>35</v>
      </c>
      <c r="F54" t="s">
        <v>41</v>
      </c>
      <c r="G54">
        <v>225</v>
      </c>
      <c r="H54" s="2">
        <v>608.01</v>
      </c>
    </row>
    <row r="55" spans="2:8" x14ac:dyDescent="0.2">
      <c r="B55" s="5">
        <v>38469.069535271912</v>
      </c>
      <c r="C55" t="s">
        <v>36</v>
      </c>
      <c r="D55" t="s">
        <v>20</v>
      </c>
      <c r="E55" t="s">
        <v>35</v>
      </c>
      <c r="F55" t="s">
        <v>41</v>
      </c>
      <c r="G55">
        <v>100</v>
      </c>
      <c r="H55" s="2">
        <v>296.98</v>
      </c>
    </row>
    <row r="56" spans="2:8" x14ac:dyDescent="0.2">
      <c r="B56" s="5">
        <v>38480.543916573995</v>
      </c>
      <c r="C56" t="s">
        <v>37</v>
      </c>
      <c r="D56" t="s">
        <v>5</v>
      </c>
      <c r="E56" t="s">
        <v>35</v>
      </c>
      <c r="F56" t="s">
        <v>41</v>
      </c>
      <c r="G56">
        <v>30</v>
      </c>
      <c r="H56" s="2">
        <v>82.55</v>
      </c>
    </row>
    <row r="57" spans="2:8" x14ac:dyDescent="0.2">
      <c r="B57" s="5">
        <v>38480.761509026626</v>
      </c>
      <c r="C57" t="s">
        <v>0</v>
      </c>
      <c r="D57" t="s">
        <v>19</v>
      </c>
      <c r="E57" t="s">
        <v>35</v>
      </c>
      <c r="F57" t="s">
        <v>41</v>
      </c>
      <c r="G57">
        <v>150</v>
      </c>
      <c r="H57" s="2">
        <v>451.46</v>
      </c>
    </row>
    <row r="58" spans="2:8" x14ac:dyDescent="0.2">
      <c r="B58" s="5">
        <v>38482.165969635884</v>
      </c>
      <c r="C58" t="s">
        <v>1</v>
      </c>
      <c r="D58" t="s">
        <v>13</v>
      </c>
      <c r="E58" t="s">
        <v>35</v>
      </c>
      <c r="F58" t="s">
        <v>41</v>
      </c>
      <c r="G58">
        <v>465</v>
      </c>
      <c r="H58" s="2">
        <v>1361.65</v>
      </c>
    </row>
    <row r="59" spans="2:8" x14ac:dyDescent="0.2">
      <c r="B59" s="5">
        <v>38493.449819933288</v>
      </c>
      <c r="C59" t="s">
        <v>36</v>
      </c>
      <c r="D59" t="s">
        <v>19</v>
      </c>
      <c r="E59" t="s">
        <v>35</v>
      </c>
      <c r="F59" t="s">
        <v>41</v>
      </c>
      <c r="G59">
        <v>440</v>
      </c>
      <c r="H59" s="2">
        <v>1362.85</v>
      </c>
    </row>
    <row r="60" spans="2:8" x14ac:dyDescent="0.2">
      <c r="B60" s="5">
        <v>38428.399614839051</v>
      </c>
      <c r="C60" t="s">
        <v>2</v>
      </c>
      <c r="D60" t="s">
        <v>14</v>
      </c>
      <c r="E60" t="s">
        <v>35</v>
      </c>
      <c r="F60" t="s">
        <v>27</v>
      </c>
      <c r="G60">
        <v>205</v>
      </c>
      <c r="H60" s="2">
        <v>607.35</v>
      </c>
    </row>
    <row r="61" spans="2:8" x14ac:dyDescent="0.2">
      <c r="B61" s="5">
        <v>38445.461845642472</v>
      </c>
      <c r="C61" t="s">
        <v>3</v>
      </c>
      <c r="D61" t="s">
        <v>6</v>
      </c>
      <c r="E61" t="s">
        <v>35</v>
      </c>
      <c r="F61" t="s">
        <v>27</v>
      </c>
      <c r="G61">
        <v>80</v>
      </c>
      <c r="H61" s="2">
        <v>236.11</v>
      </c>
    </row>
    <row r="62" spans="2:8" x14ac:dyDescent="0.2">
      <c r="B62" s="5">
        <v>38479.478873188535</v>
      </c>
      <c r="C62" t="s">
        <v>2</v>
      </c>
      <c r="D62" t="s">
        <v>22</v>
      </c>
      <c r="E62" t="s">
        <v>35</v>
      </c>
      <c r="F62" t="s">
        <v>27</v>
      </c>
      <c r="G62">
        <v>90</v>
      </c>
      <c r="H62" s="2">
        <v>269.55</v>
      </c>
    </row>
    <row r="63" spans="2:8" x14ac:dyDescent="0.2">
      <c r="B63" s="5">
        <v>38487.402026380434</v>
      </c>
      <c r="C63" t="s">
        <v>0</v>
      </c>
      <c r="D63" t="s">
        <v>14</v>
      </c>
      <c r="E63" t="s">
        <v>35</v>
      </c>
      <c r="F63" t="s">
        <v>27</v>
      </c>
      <c r="G63">
        <v>965</v>
      </c>
      <c r="H63" s="2">
        <v>3071.28</v>
      </c>
    </row>
    <row r="64" spans="2:8" x14ac:dyDescent="0.2">
      <c r="B64" s="5">
        <v>38504.921763153936</v>
      </c>
      <c r="C64" t="s">
        <v>3</v>
      </c>
      <c r="D64" t="s">
        <v>16</v>
      </c>
      <c r="E64" t="s">
        <v>35</v>
      </c>
      <c r="F64" t="s">
        <v>27</v>
      </c>
      <c r="G64">
        <v>760</v>
      </c>
      <c r="H64" s="2">
        <v>2227.0300000000002</v>
      </c>
    </row>
    <row r="65" spans="2:8" x14ac:dyDescent="0.2">
      <c r="B65" s="5">
        <v>38506</v>
      </c>
      <c r="C65" t="s">
        <v>36</v>
      </c>
      <c r="D65" t="s">
        <v>17</v>
      </c>
      <c r="E65" t="s">
        <v>35</v>
      </c>
      <c r="F65" t="s">
        <v>27</v>
      </c>
      <c r="G65">
        <v>265</v>
      </c>
      <c r="H65" s="2">
        <v>713.51</v>
      </c>
    </row>
    <row r="66" spans="2:8" x14ac:dyDescent="0.2">
      <c r="B66" s="5">
        <v>38507.437945037615</v>
      </c>
      <c r="C66" t="s">
        <v>3</v>
      </c>
      <c r="D66" t="s">
        <v>14</v>
      </c>
      <c r="E66" t="s">
        <v>35</v>
      </c>
      <c r="F66" t="s">
        <v>27</v>
      </c>
      <c r="G66">
        <v>5</v>
      </c>
      <c r="H66" s="2">
        <v>14.27</v>
      </c>
    </row>
    <row r="67" spans="2:8" x14ac:dyDescent="0.2">
      <c r="B67" s="5">
        <v>38511.173373044294</v>
      </c>
      <c r="C67" t="s">
        <v>4</v>
      </c>
      <c r="D67" t="s">
        <v>8</v>
      </c>
      <c r="E67" t="s">
        <v>35</v>
      </c>
      <c r="F67" t="s">
        <v>27</v>
      </c>
      <c r="G67">
        <v>975</v>
      </c>
      <c r="H67" s="2">
        <v>4726.1400000000003</v>
      </c>
    </row>
    <row r="68" spans="2:8" x14ac:dyDescent="0.2">
      <c r="B68" s="5">
        <v>38512.849285173863</v>
      </c>
      <c r="C68" t="s">
        <v>2</v>
      </c>
      <c r="D68" t="s">
        <v>5</v>
      </c>
      <c r="E68" t="s">
        <v>35</v>
      </c>
      <c r="F68" t="s">
        <v>27</v>
      </c>
      <c r="G68">
        <v>450</v>
      </c>
      <c r="H68" s="2">
        <v>1645.9</v>
      </c>
    </row>
    <row r="69" spans="2:8" x14ac:dyDescent="0.2">
      <c r="B69" s="5">
        <v>38525.039266755477</v>
      </c>
      <c r="C69" t="s">
        <v>0</v>
      </c>
      <c r="D69" t="s">
        <v>14</v>
      </c>
      <c r="E69" t="s">
        <v>35</v>
      </c>
      <c r="F69" t="s">
        <v>27</v>
      </c>
      <c r="G69">
        <v>320</v>
      </c>
      <c r="H69" s="2">
        <v>1024.32</v>
      </c>
    </row>
    <row r="70" spans="2:8" x14ac:dyDescent="0.2">
      <c r="B70" s="5">
        <v>38531.601720489569</v>
      </c>
      <c r="C70" t="s">
        <v>2</v>
      </c>
      <c r="D70" t="s">
        <v>14</v>
      </c>
      <c r="E70" t="s">
        <v>35</v>
      </c>
      <c r="F70" t="s">
        <v>27</v>
      </c>
      <c r="G70">
        <v>465</v>
      </c>
      <c r="H70" s="2">
        <v>1668.93</v>
      </c>
    </row>
    <row r="71" spans="2:8" x14ac:dyDescent="0.2">
      <c r="B71" s="5">
        <v>38544.512992020369</v>
      </c>
      <c r="C71" t="s">
        <v>4</v>
      </c>
      <c r="D71" t="s">
        <v>5</v>
      </c>
      <c r="E71" t="s">
        <v>35</v>
      </c>
      <c r="F71" t="s">
        <v>27</v>
      </c>
      <c r="G71">
        <v>285</v>
      </c>
      <c r="H71" s="2">
        <v>2074.8200000000002</v>
      </c>
    </row>
    <row r="72" spans="2:8" x14ac:dyDescent="0.2">
      <c r="B72" s="5">
        <v>38580.917041127235</v>
      </c>
      <c r="C72" t="s">
        <v>37</v>
      </c>
      <c r="D72" t="s">
        <v>20</v>
      </c>
      <c r="E72" t="s">
        <v>35</v>
      </c>
      <c r="F72" t="s">
        <v>27</v>
      </c>
      <c r="G72">
        <v>370</v>
      </c>
      <c r="H72" s="2">
        <v>2415.9299999999998</v>
      </c>
    </row>
    <row r="73" spans="2:8" x14ac:dyDescent="0.2">
      <c r="B73" s="5">
        <v>38464.789142804395</v>
      </c>
      <c r="C73" t="s">
        <v>2</v>
      </c>
      <c r="D73" t="s">
        <v>19</v>
      </c>
      <c r="E73" t="s">
        <v>35</v>
      </c>
      <c r="F73" t="s">
        <v>38</v>
      </c>
      <c r="G73">
        <v>895</v>
      </c>
      <c r="H73" s="2">
        <v>6037.4</v>
      </c>
    </row>
    <row r="74" spans="2:8" x14ac:dyDescent="0.2">
      <c r="B74" s="5">
        <v>38477.318778297471</v>
      </c>
      <c r="C74" t="s">
        <v>1</v>
      </c>
      <c r="D74" t="s">
        <v>10</v>
      </c>
      <c r="E74" t="s">
        <v>35</v>
      </c>
      <c r="F74" t="s">
        <v>38</v>
      </c>
      <c r="G74">
        <v>345</v>
      </c>
      <c r="H74" s="2">
        <v>2279.08</v>
      </c>
    </row>
    <row r="75" spans="2:8" x14ac:dyDescent="0.2">
      <c r="B75" s="5">
        <v>38482.401739053319</v>
      </c>
      <c r="C75" t="s">
        <v>0</v>
      </c>
      <c r="D75" t="s">
        <v>6</v>
      </c>
      <c r="E75" t="s">
        <v>35</v>
      </c>
      <c r="F75" t="s">
        <v>38</v>
      </c>
      <c r="G75">
        <v>690</v>
      </c>
      <c r="H75" s="2">
        <v>4793.51</v>
      </c>
    </row>
    <row r="76" spans="2:8" x14ac:dyDescent="0.2">
      <c r="B76" s="5">
        <v>38482.844881140394</v>
      </c>
      <c r="C76" t="s">
        <v>37</v>
      </c>
      <c r="D76" t="s">
        <v>11</v>
      </c>
      <c r="E76" t="s">
        <v>35</v>
      </c>
      <c r="F76" t="s">
        <v>38</v>
      </c>
      <c r="G76">
        <v>485</v>
      </c>
      <c r="H76" s="2">
        <v>3271.49</v>
      </c>
    </row>
    <row r="77" spans="2:8" x14ac:dyDescent="0.2">
      <c r="B77" s="5">
        <v>38490.812762553898</v>
      </c>
      <c r="C77" t="s">
        <v>36</v>
      </c>
      <c r="D77" t="s">
        <v>5</v>
      </c>
      <c r="E77" t="s">
        <v>35</v>
      </c>
      <c r="F77" t="s">
        <v>38</v>
      </c>
      <c r="G77">
        <v>760</v>
      </c>
      <c r="H77" s="2">
        <v>4758.62</v>
      </c>
    </row>
    <row r="78" spans="2:8" x14ac:dyDescent="0.2">
      <c r="B78" s="5">
        <v>38501.335737105554</v>
      </c>
      <c r="C78" t="s">
        <v>36</v>
      </c>
      <c r="D78" t="s">
        <v>5</v>
      </c>
      <c r="E78" t="s">
        <v>35</v>
      </c>
      <c r="F78" t="s">
        <v>38</v>
      </c>
      <c r="G78">
        <v>145</v>
      </c>
      <c r="H78" s="2">
        <v>1045.1099999999999</v>
      </c>
    </row>
    <row r="79" spans="2:8" x14ac:dyDescent="0.2">
      <c r="B79" s="5">
        <v>38407.489452039452</v>
      </c>
      <c r="C79" t="s">
        <v>37</v>
      </c>
      <c r="D79" t="s">
        <v>21</v>
      </c>
      <c r="E79" t="s">
        <v>26</v>
      </c>
      <c r="F79" t="s">
        <v>39</v>
      </c>
      <c r="G79">
        <v>250</v>
      </c>
      <c r="H79" s="2">
        <v>224.9</v>
      </c>
    </row>
    <row r="80" spans="2:8" x14ac:dyDescent="0.2">
      <c r="B80" s="5">
        <v>38418.613228464063</v>
      </c>
      <c r="C80" t="s">
        <v>3</v>
      </c>
      <c r="D80" t="s">
        <v>12</v>
      </c>
      <c r="E80" t="s">
        <v>26</v>
      </c>
      <c r="F80" t="s">
        <v>39</v>
      </c>
      <c r="G80">
        <v>560</v>
      </c>
      <c r="H80" s="2">
        <v>238.16</v>
      </c>
    </row>
    <row r="81" spans="2:8" x14ac:dyDescent="0.2">
      <c r="B81" s="5">
        <v>38436.582005767676</v>
      </c>
      <c r="C81" t="s">
        <v>3</v>
      </c>
      <c r="D81" t="s">
        <v>5</v>
      </c>
      <c r="E81" t="s">
        <v>26</v>
      </c>
      <c r="F81" t="s">
        <v>39</v>
      </c>
      <c r="G81">
        <v>785</v>
      </c>
      <c r="H81" s="2">
        <v>315.67</v>
      </c>
    </row>
    <row r="82" spans="2:8" x14ac:dyDescent="0.2">
      <c r="B82" s="5">
        <v>38450.792966549452</v>
      </c>
      <c r="C82" t="s">
        <v>3</v>
      </c>
      <c r="D82" t="s">
        <v>10</v>
      </c>
      <c r="E82" t="s">
        <v>26</v>
      </c>
      <c r="F82" t="s">
        <v>39</v>
      </c>
      <c r="G82">
        <v>760</v>
      </c>
      <c r="H82" s="2">
        <v>305.92</v>
      </c>
    </row>
    <row r="83" spans="2:8" x14ac:dyDescent="0.2">
      <c r="B83" s="5">
        <v>38467.558501326203</v>
      </c>
      <c r="C83" t="s">
        <v>3</v>
      </c>
      <c r="D83" t="s">
        <v>6</v>
      </c>
      <c r="E83" t="s">
        <v>26</v>
      </c>
      <c r="F83" t="s">
        <v>39</v>
      </c>
      <c r="G83">
        <v>790</v>
      </c>
      <c r="H83" s="2">
        <v>326.39</v>
      </c>
    </row>
    <row r="84" spans="2:8" x14ac:dyDescent="0.2">
      <c r="B84" s="5">
        <v>38468.927348434685</v>
      </c>
      <c r="C84" t="s">
        <v>3</v>
      </c>
      <c r="D84" t="s">
        <v>12</v>
      </c>
      <c r="E84" t="s">
        <v>26</v>
      </c>
      <c r="F84" t="s">
        <v>39</v>
      </c>
      <c r="G84">
        <v>440</v>
      </c>
      <c r="H84" s="2">
        <v>174.53</v>
      </c>
    </row>
    <row r="85" spans="2:8" x14ac:dyDescent="0.2">
      <c r="B85" s="5">
        <v>38469.664696216343</v>
      </c>
      <c r="C85" t="s">
        <v>2</v>
      </c>
      <c r="D85" t="s">
        <v>21</v>
      </c>
      <c r="E85" t="s">
        <v>26</v>
      </c>
      <c r="F85" t="s">
        <v>39</v>
      </c>
      <c r="G85">
        <v>200</v>
      </c>
      <c r="H85" s="2">
        <v>86.87</v>
      </c>
    </row>
    <row r="86" spans="2:8" x14ac:dyDescent="0.2">
      <c r="B86" s="5">
        <v>38473.458289872578</v>
      </c>
      <c r="C86" t="s">
        <v>2</v>
      </c>
      <c r="D86" t="s">
        <v>7</v>
      </c>
      <c r="E86" t="s">
        <v>26</v>
      </c>
      <c r="F86" t="s">
        <v>39</v>
      </c>
      <c r="G86">
        <v>465</v>
      </c>
      <c r="H86" s="2">
        <v>178.37</v>
      </c>
    </row>
    <row r="87" spans="2:8" x14ac:dyDescent="0.2">
      <c r="B87" s="5">
        <v>38489.026619189033</v>
      </c>
      <c r="C87" t="s">
        <v>37</v>
      </c>
      <c r="D87" t="s">
        <v>5</v>
      </c>
      <c r="E87" t="s">
        <v>26</v>
      </c>
      <c r="F87" t="s">
        <v>39</v>
      </c>
      <c r="G87">
        <v>410</v>
      </c>
      <c r="H87" s="2">
        <v>402.73</v>
      </c>
    </row>
    <row r="88" spans="2:8" x14ac:dyDescent="0.2">
      <c r="B88" s="5">
        <v>38492.036094885443</v>
      </c>
      <c r="C88" t="s">
        <v>3</v>
      </c>
      <c r="D88" t="s">
        <v>7</v>
      </c>
      <c r="E88" t="s">
        <v>26</v>
      </c>
      <c r="F88" t="s">
        <v>39</v>
      </c>
      <c r="G88">
        <v>465</v>
      </c>
      <c r="H88" s="2">
        <v>206.68</v>
      </c>
    </row>
    <row r="89" spans="2:8" x14ac:dyDescent="0.2">
      <c r="B89" s="5">
        <v>38496.79021225535</v>
      </c>
      <c r="C89" t="s">
        <v>36</v>
      </c>
      <c r="D89" t="s">
        <v>17</v>
      </c>
      <c r="E89" t="s">
        <v>26</v>
      </c>
      <c r="F89" t="s">
        <v>39</v>
      </c>
      <c r="G89">
        <v>715</v>
      </c>
      <c r="H89" s="2">
        <v>278.92</v>
      </c>
    </row>
    <row r="90" spans="2:8" x14ac:dyDescent="0.2">
      <c r="B90" s="5">
        <v>38498.584276927933</v>
      </c>
      <c r="C90" t="s">
        <v>2</v>
      </c>
      <c r="D90" t="s">
        <v>22</v>
      </c>
      <c r="E90" t="s">
        <v>26</v>
      </c>
      <c r="F90" t="s">
        <v>39</v>
      </c>
      <c r="G90">
        <v>185</v>
      </c>
      <c r="H90" s="2">
        <v>242.85</v>
      </c>
    </row>
    <row r="91" spans="2:8" x14ac:dyDescent="0.2">
      <c r="B91" s="5">
        <v>38502.501469305447</v>
      </c>
      <c r="C91" t="s">
        <v>36</v>
      </c>
      <c r="D91" t="s">
        <v>20</v>
      </c>
      <c r="E91" t="s">
        <v>26</v>
      </c>
      <c r="F91" t="s">
        <v>39</v>
      </c>
      <c r="G91">
        <v>985</v>
      </c>
      <c r="H91" s="2">
        <v>399.81</v>
      </c>
    </row>
    <row r="92" spans="2:8" x14ac:dyDescent="0.2">
      <c r="B92" s="5">
        <v>38507.173857865411</v>
      </c>
      <c r="C92" t="s">
        <v>36</v>
      </c>
      <c r="D92" t="s">
        <v>11</v>
      </c>
      <c r="E92" t="s">
        <v>26</v>
      </c>
      <c r="F92" t="s">
        <v>39</v>
      </c>
      <c r="G92">
        <v>610</v>
      </c>
      <c r="H92" s="2">
        <v>251.07</v>
      </c>
    </row>
    <row r="93" spans="2:8" x14ac:dyDescent="0.2">
      <c r="B93" s="5">
        <v>38509.904475907511</v>
      </c>
      <c r="C93" t="s">
        <v>1</v>
      </c>
      <c r="D93" t="s">
        <v>5</v>
      </c>
      <c r="E93" t="s">
        <v>26</v>
      </c>
      <c r="F93" t="s">
        <v>39</v>
      </c>
      <c r="G93">
        <v>380</v>
      </c>
      <c r="H93" s="2">
        <v>397.93</v>
      </c>
    </row>
    <row r="94" spans="2:8" x14ac:dyDescent="0.2">
      <c r="B94" s="5">
        <v>38510.898036174745</v>
      </c>
      <c r="C94" t="s">
        <v>0</v>
      </c>
      <c r="D94" t="s">
        <v>21</v>
      </c>
      <c r="E94" t="s">
        <v>26</v>
      </c>
      <c r="F94" t="s">
        <v>39</v>
      </c>
      <c r="G94">
        <v>770</v>
      </c>
      <c r="H94" s="2">
        <v>775.45</v>
      </c>
    </row>
    <row r="95" spans="2:8" x14ac:dyDescent="0.2">
      <c r="B95" s="5">
        <v>38513.736175646693</v>
      </c>
      <c r="C95" t="s">
        <v>3</v>
      </c>
      <c r="D95" t="s">
        <v>10</v>
      </c>
      <c r="E95" t="s">
        <v>26</v>
      </c>
      <c r="F95" t="s">
        <v>39</v>
      </c>
      <c r="G95">
        <v>340</v>
      </c>
      <c r="H95" s="2">
        <v>1024.6500000000001</v>
      </c>
    </row>
    <row r="96" spans="2:8" x14ac:dyDescent="0.2">
      <c r="B96" s="5">
        <v>38516.513907942921</v>
      </c>
      <c r="C96" t="s">
        <v>1</v>
      </c>
      <c r="D96" t="s">
        <v>8</v>
      </c>
      <c r="E96" t="s">
        <v>26</v>
      </c>
      <c r="F96" t="s">
        <v>39</v>
      </c>
      <c r="G96">
        <v>35</v>
      </c>
      <c r="H96" s="2">
        <v>14.24</v>
      </c>
    </row>
    <row r="97" spans="2:8" x14ac:dyDescent="0.2">
      <c r="B97" s="5">
        <v>38517.692081036446</v>
      </c>
      <c r="C97" t="s">
        <v>0</v>
      </c>
      <c r="D97" t="s">
        <v>23</v>
      </c>
      <c r="E97" t="s">
        <v>26</v>
      </c>
      <c r="F97" t="s">
        <v>39</v>
      </c>
      <c r="G97">
        <v>580</v>
      </c>
      <c r="H97" s="2">
        <v>233.85</v>
      </c>
    </row>
    <row r="98" spans="2:8" x14ac:dyDescent="0.2">
      <c r="B98" s="5">
        <v>38524.74062358513</v>
      </c>
      <c r="C98" t="s">
        <v>36</v>
      </c>
      <c r="D98" t="s">
        <v>21</v>
      </c>
      <c r="E98" t="s">
        <v>26</v>
      </c>
      <c r="F98" t="s">
        <v>39</v>
      </c>
      <c r="G98">
        <v>300</v>
      </c>
      <c r="H98" s="2">
        <v>134.11000000000001</v>
      </c>
    </row>
    <row r="99" spans="2:8" x14ac:dyDescent="0.2">
      <c r="B99" s="5">
        <v>38527.667287913289</v>
      </c>
      <c r="C99" t="s">
        <v>4</v>
      </c>
      <c r="D99" t="s">
        <v>7</v>
      </c>
      <c r="E99" t="s">
        <v>26</v>
      </c>
      <c r="F99" t="s">
        <v>39</v>
      </c>
      <c r="G99">
        <v>245</v>
      </c>
      <c r="H99" s="2">
        <v>103.46</v>
      </c>
    </row>
    <row r="100" spans="2:8" x14ac:dyDescent="0.2">
      <c r="B100" s="5">
        <v>38535.186031128367</v>
      </c>
      <c r="C100" t="s">
        <v>2</v>
      </c>
      <c r="D100" t="s">
        <v>21</v>
      </c>
      <c r="E100" t="s">
        <v>26</v>
      </c>
      <c r="F100" t="s">
        <v>39</v>
      </c>
      <c r="G100">
        <v>220</v>
      </c>
      <c r="H100" s="2">
        <v>451.35</v>
      </c>
    </row>
    <row r="101" spans="2:8" x14ac:dyDescent="0.2">
      <c r="B101" s="5">
        <v>38537.639312627383</v>
      </c>
      <c r="C101" t="s">
        <v>1</v>
      </c>
      <c r="D101" t="s">
        <v>6</v>
      </c>
      <c r="E101" t="s">
        <v>26</v>
      </c>
      <c r="F101" t="s">
        <v>39</v>
      </c>
      <c r="G101">
        <v>165</v>
      </c>
      <c r="H101" s="2">
        <v>361.75</v>
      </c>
    </row>
    <row r="102" spans="2:8" x14ac:dyDescent="0.2">
      <c r="B102" s="5">
        <v>38546.067788723485</v>
      </c>
      <c r="C102" t="s">
        <v>4</v>
      </c>
      <c r="D102" t="s">
        <v>23</v>
      </c>
      <c r="E102" t="s">
        <v>26</v>
      </c>
      <c r="F102" t="s">
        <v>39</v>
      </c>
      <c r="G102">
        <v>925</v>
      </c>
      <c r="H102" s="2">
        <v>1077.5</v>
      </c>
    </row>
    <row r="103" spans="2:8" x14ac:dyDescent="0.2">
      <c r="B103" s="5">
        <v>38546.249972655671</v>
      </c>
      <c r="C103" t="s">
        <v>3</v>
      </c>
      <c r="D103" t="s">
        <v>7</v>
      </c>
      <c r="E103" t="s">
        <v>26</v>
      </c>
      <c r="F103" t="s">
        <v>39</v>
      </c>
      <c r="G103">
        <v>610</v>
      </c>
      <c r="H103" s="2">
        <v>1083.82</v>
      </c>
    </row>
    <row r="104" spans="2:8" x14ac:dyDescent="0.2">
      <c r="B104" s="5">
        <v>38577.741961761159</v>
      </c>
      <c r="C104" t="s">
        <v>4</v>
      </c>
      <c r="D104" t="s">
        <v>21</v>
      </c>
      <c r="E104" t="s">
        <v>26</v>
      </c>
      <c r="F104" t="s">
        <v>39</v>
      </c>
      <c r="G104">
        <v>950</v>
      </c>
      <c r="H104" s="2">
        <v>4553.46</v>
      </c>
    </row>
    <row r="105" spans="2:8" x14ac:dyDescent="0.2">
      <c r="B105" s="5">
        <v>38585.12882853442</v>
      </c>
      <c r="C105" t="s">
        <v>37</v>
      </c>
      <c r="D105" t="s">
        <v>15</v>
      </c>
      <c r="E105" t="s">
        <v>26</v>
      </c>
      <c r="F105" t="s">
        <v>39</v>
      </c>
      <c r="G105">
        <v>150</v>
      </c>
      <c r="H105" s="2">
        <v>66.41</v>
      </c>
    </row>
    <row r="106" spans="2:8" x14ac:dyDescent="0.2">
      <c r="B106" s="5">
        <v>38431.715004332691</v>
      </c>
      <c r="C106" t="s">
        <v>36</v>
      </c>
      <c r="D106" t="s">
        <v>21</v>
      </c>
      <c r="E106" t="s">
        <v>26</v>
      </c>
      <c r="F106" t="s">
        <v>43</v>
      </c>
      <c r="G106">
        <v>195</v>
      </c>
      <c r="H106" s="2">
        <v>672.76</v>
      </c>
    </row>
    <row r="107" spans="2:8" x14ac:dyDescent="0.2">
      <c r="B107" s="5">
        <v>38432.393676598287</v>
      </c>
      <c r="C107" t="s">
        <v>0</v>
      </c>
      <c r="D107" t="s">
        <v>24</v>
      </c>
      <c r="E107" t="s">
        <v>26</v>
      </c>
      <c r="F107" t="s">
        <v>43</v>
      </c>
      <c r="G107">
        <v>780</v>
      </c>
      <c r="H107" s="2">
        <v>1639.93</v>
      </c>
    </row>
    <row r="108" spans="2:8" x14ac:dyDescent="0.2">
      <c r="B108" s="5">
        <v>38444.675799187506</v>
      </c>
      <c r="C108" t="s">
        <v>37</v>
      </c>
      <c r="D108" t="s">
        <v>11</v>
      </c>
      <c r="E108" t="s">
        <v>26</v>
      </c>
      <c r="F108" t="s">
        <v>43</v>
      </c>
      <c r="G108">
        <v>320</v>
      </c>
      <c r="H108" s="2">
        <v>684.31</v>
      </c>
    </row>
    <row r="109" spans="2:8" x14ac:dyDescent="0.2">
      <c r="B109" s="5">
        <v>38455.390652645903</v>
      </c>
      <c r="C109" t="s">
        <v>0</v>
      </c>
      <c r="D109" t="s">
        <v>10</v>
      </c>
      <c r="E109" t="s">
        <v>26</v>
      </c>
      <c r="F109" t="s">
        <v>43</v>
      </c>
      <c r="G109">
        <v>720</v>
      </c>
      <c r="H109" s="2">
        <v>1507.07</v>
      </c>
    </row>
    <row r="110" spans="2:8" x14ac:dyDescent="0.2">
      <c r="B110" s="5">
        <v>38456.360026124261</v>
      </c>
      <c r="C110" t="s">
        <v>1</v>
      </c>
      <c r="D110" t="s">
        <v>11</v>
      </c>
      <c r="E110" t="s">
        <v>26</v>
      </c>
      <c r="F110" t="s">
        <v>43</v>
      </c>
      <c r="G110">
        <v>890</v>
      </c>
      <c r="H110" s="2">
        <v>1992.82</v>
      </c>
    </row>
    <row r="111" spans="2:8" x14ac:dyDescent="0.2">
      <c r="B111" s="5">
        <v>38471.583454599044</v>
      </c>
      <c r="C111" t="s">
        <v>37</v>
      </c>
      <c r="D111" t="s">
        <v>8</v>
      </c>
      <c r="E111" t="s">
        <v>26</v>
      </c>
      <c r="F111" t="s">
        <v>43</v>
      </c>
      <c r="G111">
        <v>960</v>
      </c>
      <c r="H111" s="2">
        <v>2058.7800000000002</v>
      </c>
    </row>
    <row r="112" spans="2:8" x14ac:dyDescent="0.2">
      <c r="B112" s="5">
        <v>38474.462034175325</v>
      </c>
      <c r="C112" t="s">
        <v>2</v>
      </c>
      <c r="D112" t="s">
        <v>5</v>
      </c>
      <c r="E112" t="s">
        <v>26</v>
      </c>
      <c r="F112" t="s">
        <v>43</v>
      </c>
      <c r="G112">
        <v>15</v>
      </c>
      <c r="H112" s="2">
        <v>29.37</v>
      </c>
    </row>
    <row r="113" spans="2:8" x14ac:dyDescent="0.2">
      <c r="B113" s="5">
        <v>38476.262206253079</v>
      </c>
      <c r="C113" t="s">
        <v>36</v>
      </c>
      <c r="D113" t="s">
        <v>17</v>
      </c>
      <c r="E113" t="s">
        <v>26</v>
      </c>
      <c r="F113" t="s">
        <v>43</v>
      </c>
      <c r="G113">
        <v>785</v>
      </c>
      <c r="H113" s="2">
        <v>1725.17</v>
      </c>
    </row>
    <row r="114" spans="2:8" x14ac:dyDescent="0.2">
      <c r="B114" s="5">
        <v>38487.806489773953</v>
      </c>
      <c r="C114" t="s">
        <v>3</v>
      </c>
      <c r="D114" t="s">
        <v>20</v>
      </c>
      <c r="E114" t="s">
        <v>26</v>
      </c>
      <c r="F114" t="s">
        <v>43</v>
      </c>
      <c r="G114">
        <v>685</v>
      </c>
      <c r="H114" s="2">
        <v>1364.1</v>
      </c>
    </row>
    <row r="115" spans="2:8" x14ac:dyDescent="0.2">
      <c r="B115" s="5">
        <v>38488.087763839329</v>
      </c>
      <c r="C115" t="s">
        <v>1</v>
      </c>
      <c r="D115" t="s">
        <v>22</v>
      </c>
      <c r="E115" t="s">
        <v>26</v>
      </c>
      <c r="F115" t="s">
        <v>43</v>
      </c>
      <c r="G115">
        <v>875</v>
      </c>
      <c r="H115" s="2">
        <v>1938.65</v>
      </c>
    </row>
    <row r="116" spans="2:8" x14ac:dyDescent="0.2">
      <c r="B116" s="5">
        <v>38493.917800438605</v>
      </c>
      <c r="C116" t="s">
        <v>3</v>
      </c>
      <c r="D116" t="s">
        <v>21</v>
      </c>
      <c r="E116" t="s">
        <v>26</v>
      </c>
      <c r="F116" t="s">
        <v>43</v>
      </c>
      <c r="G116">
        <v>735</v>
      </c>
      <c r="H116" s="2">
        <v>3409.87</v>
      </c>
    </row>
    <row r="117" spans="2:8" x14ac:dyDescent="0.2">
      <c r="B117" s="5">
        <v>38498.800601855546</v>
      </c>
      <c r="C117" t="s">
        <v>36</v>
      </c>
      <c r="D117" t="s">
        <v>5</v>
      </c>
      <c r="E117" t="s">
        <v>26</v>
      </c>
      <c r="F117" t="s">
        <v>43</v>
      </c>
      <c r="G117">
        <v>775</v>
      </c>
      <c r="H117" s="2">
        <v>4421.5600000000004</v>
      </c>
    </row>
    <row r="118" spans="2:8" x14ac:dyDescent="0.2">
      <c r="B118" s="5">
        <v>38430.485850910809</v>
      </c>
      <c r="C118" t="s">
        <v>0</v>
      </c>
      <c r="D118" t="s">
        <v>12</v>
      </c>
      <c r="E118" t="s">
        <v>26</v>
      </c>
      <c r="F118" t="s">
        <v>40</v>
      </c>
      <c r="G118">
        <v>20</v>
      </c>
      <c r="H118" s="2">
        <v>16.34</v>
      </c>
    </row>
    <row r="119" spans="2:8" x14ac:dyDescent="0.2">
      <c r="B119" s="5">
        <v>38452.596351119471</v>
      </c>
      <c r="C119" t="s">
        <v>36</v>
      </c>
      <c r="D119" t="s">
        <v>20</v>
      </c>
      <c r="E119" t="s">
        <v>26</v>
      </c>
      <c r="F119" t="s">
        <v>40</v>
      </c>
      <c r="G119">
        <v>925</v>
      </c>
      <c r="H119" s="2">
        <v>799.96</v>
      </c>
    </row>
    <row r="120" spans="2:8" x14ac:dyDescent="0.2">
      <c r="B120" s="5">
        <v>38455.58567519729</v>
      </c>
      <c r="C120" t="s">
        <v>36</v>
      </c>
      <c r="D120" t="s">
        <v>8</v>
      </c>
      <c r="E120" t="s">
        <v>26</v>
      </c>
      <c r="F120" t="s">
        <v>40</v>
      </c>
      <c r="G120">
        <v>810</v>
      </c>
      <c r="H120" s="2">
        <v>641.83000000000004</v>
      </c>
    </row>
    <row r="121" spans="2:8" x14ac:dyDescent="0.2">
      <c r="B121" s="5">
        <v>38466.119198199711</v>
      </c>
      <c r="C121" t="s">
        <v>3</v>
      </c>
      <c r="D121" t="s">
        <v>16</v>
      </c>
      <c r="E121" t="s">
        <v>26</v>
      </c>
      <c r="F121" t="s">
        <v>40</v>
      </c>
      <c r="G121">
        <v>215</v>
      </c>
      <c r="H121" s="2">
        <v>175.43</v>
      </c>
    </row>
    <row r="122" spans="2:8" x14ac:dyDescent="0.2">
      <c r="B122" s="5">
        <v>38470.45182493695</v>
      </c>
      <c r="C122" t="s">
        <v>37</v>
      </c>
      <c r="D122" t="s">
        <v>6</v>
      </c>
      <c r="E122" t="s">
        <v>26</v>
      </c>
      <c r="F122" t="s">
        <v>40</v>
      </c>
      <c r="G122">
        <v>390</v>
      </c>
      <c r="H122" s="2">
        <v>349.98</v>
      </c>
    </row>
    <row r="123" spans="2:8" x14ac:dyDescent="0.2">
      <c r="B123" s="5">
        <v>38480.624153423669</v>
      </c>
      <c r="C123" t="s">
        <v>1</v>
      </c>
      <c r="D123" t="s">
        <v>21</v>
      </c>
      <c r="E123" t="s">
        <v>26</v>
      </c>
      <c r="F123" t="s">
        <v>40</v>
      </c>
      <c r="G123">
        <v>245</v>
      </c>
      <c r="H123" s="2">
        <v>559.94000000000005</v>
      </c>
    </row>
    <row r="124" spans="2:8" x14ac:dyDescent="0.2">
      <c r="B124" s="5">
        <v>38481.896485581769</v>
      </c>
      <c r="C124" t="s">
        <v>37</v>
      </c>
      <c r="D124" t="s">
        <v>21</v>
      </c>
      <c r="E124" t="s">
        <v>26</v>
      </c>
      <c r="F124" t="s">
        <v>40</v>
      </c>
      <c r="G124">
        <v>365</v>
      </c>
      <c r="H124" s="2">
        <v>794.97</v>
      </c>
    </row>
    <row r="125" spans="2:8" x14ac:dyDescent="0.2">
      <c r="B125" s="5">
        <v>38518.452028877604</v>
      </c>
      <c r="C125" t="s">
        <v>3</v>
      </c>
      <c r="D125" t="s">
        <v>11</v>
      </c>
      <c r="E125" t="s">
        <v>26</v>
      </c>
      <c r="F125" t="s">
        <v>40</v>
      </c>
      <c r="G125">
        <v>690</v>
      </c>
      <c r="H125" s="2">
        <v>548.70000000000005</v>
      </c>
    </row>
    <row r="126" spans="2:8" x14ac:dyDescent="0.2">
      <c r="B126" s="5">
        <v>38585.974636827697</v>
      </c>
      <c r="C126" t="s">
        <v>0</v>
      </c>
      <c r="D126" t="s">
        <v>11</v>
      </c>
      <c r="E126" t="s">
        <v>26</v>
      </c>
      <c r="F126" t="s">
        <v>40</v>
      </c>
      <c r="G126">
        <v>750</v>
      </c>
      <c r="H126" s="2">
        <v>664.38</v>
      </c>
    </row>
    <row r="127" spans="2:8" x14ac:dyDescent="0.2">
      <c r="B127" s="5">
        <v>38431.605631451544</v>
      </c>
      <c r="C127" t="s">
        <v>3</v>
      </c>
      <c r="D127" t="s">
        <v>11</v>
      </c>
      <c r="E127" t="s">
        <v>26</v>
      </c>
      <c r="F127" t="s">
        <v>28</v>
      </c>
      <c r="G127">
        <v>335</v>
      </c>
      <c r="H127" s="2">
        <v>558.33000000000004</v>
      </c>
    </row>
    <row r="128" spans="2:8" x14ac:dyDescent="0.2">
      <c r="B128" s="5">
        <v>38517.419402557061</v>
      </c>
      <c r="C128" t="s">
        <v>36</v>
      </c>
      <c r="D128" t="s">
        <v>7</v>
      </c>
      <c r="E128" t="s">
        <v>26</v>
      </c>
      <c r="F128" t="s">
        <v>28</v>
      </c>
      <c r="G128">
        <v>120</v>
      </c>
      <c r="H128" s="2">
        <v>193.01</v>
      </c>
    </row>
    <row r="129" spans="2:8" x14ac:dyDescent="0.2">
      <c r="B129" s="5">
        <v>38577.158143721506</v>
      </c>
      <c r="C129" t="s">
        <v>37</v>
      </c>
      <c r="D129" t="s">
        <v>11</v>
      </c>
      <c r="E129" t="s">
        <v>26</v>
      </c>
      <c r="F129" t="s">
        <v>28</v>
      </c>
      <c r="G129">
        <v>710</v>
      </c>
      <c r="H129" s="2">
        <v>1124.5</v>
      </c>
    </row>
    <row r="130" spans="2:8" x14ac:dyDescent="0.2">
      <c r="B130" s="5">
        <v>38435.148331771787</v>
      </c>
      <c r="C130" t="s">
        <v>37</v>
      </c>
      <c r="D130" t="s">
        <v>23</v>
      </c>
      <c r="E130" t="s">
        <v>26</v>
      </c>
      <c r="F130" t="s">
        <v>41</v>
      </c>
      <c r="G130">
        <v>195</v>
      </c>
      <c r="H130" s="2">
        <v>381.22</v>
      </c>
    </row>
    <row r="131" spans="2:8" x14ac:dyDescent="0.2">
      <c r="B131" s="5">
        <v>38476.497535675662</v>
      </c>
      <c r="C131" t="s">
        <v>4</v>
      </c>
      <c r="D131" t="s">
        <v>23</v>
      </c>
      <c r="E131" t="s">
        <v>26</v>
      </c>
      <c r="F131" t="s">
        <v>41</v>
      </c>
      <c r="G131">
        <v>825</v>
      </c>
      <c r="H131" s="2">
        <v>1015.98</v>
      </c>
    </row>
    <row r="132" spans="2:8" x14ac:dyDescent="0.2">
      <c r="B132" s="5">
        <v>38483.991238050345</v>
      </c>
      <c r="C132" t="s">
        <v>3</v>
      </c>
      <c r="D132" t="s">
        <v>24</v>
      </c>
      <c r="E132" t="s">
        <v>26</v>
      </c>
      <c r="F132" t="s">
        <v>41</v>
      </c>
      <c r="G132">
        <v>245</v>
      </c>
      <c r="H132" s="2">
        <v>285.17</v>
      </c>
    </row>
    <row r="133" spans="2:8" x14ac:dyDescent="0.2">
      <c r="B133" s="5">
        <v>38487.963576598217</v>
      </c>
      <c r="C133" t="s">
        <v>3</v>
      </c>
      <c r="D133" t="s">
        <v>17</v>
      </c>
      <c r="E133" t="s">
        <v>26</v>
      </c>
      <c r="F133" t="s">
        <v>41</v>
      </c>
      <c r="G133">
        <v>330</v>
      </c>
      <c r="H133" s="2">
        <v>372.18</v>
      </c>
    </row>
    <row r="134" spans="2:8" x14ac:dyDescent="0.2">
      <c r="B134" s="5">
        <v>38495.14821551511</v>
      </c>
      <c r="C134" t="s">
        <v>2</v>
      </c>
      <c r="D134" t="s">
        <v>19</v>
      </c>
      <c r="E134" t="s">
        <v>26</v>
      </c>
      <c r="F134" t="s">
        <v>41</v>
      </c>
      <c r="G134">
        <v>830</v>
      </c>
      <c r="H134" s="2">
        <v>1009.2</v>
      </c>
    </row>
    <row r="135" spans="2:8" x14ac:dyDescent="0.2">
      <c r="B135" s="5">
        <v>38513.811156236676</v>
      </c>
      <c r="C135" t="s">
        <v>0</v>
      </c>
      <c r="D135" t="s">
        <v>17</v>
      </c>
      <c r="E135" t="s">
        <v>26</v>
      </c>
      <c r="F135" t="s">
        <v>41</v>
      </c>
      <c r="G135">
        <v>205</v>
      </c>
      <c r="H135" s="2">
        <v>242.69</v>
      </c>
    </row>
    <row r="136" spans="2:8" x14ac:dyDescent="0.2">
      <c r="B136" s="5">
        <v>38432.18123974745</v>
      </c>
      <c r="C136" t="s">
        <v>3</v>
      </c>
      <c r="D136" t="s">
        <v>8</v>
      </c>
      <c r="E136" t="s">
        <v>26</v>
      </c>
      <c r="F136" t="s">
        <v>27</v>
      </c>
      <c r="G136">
        <v>610</v>
      </c>
      <c r="H136" s="2">
        <v>755.03</v>
      </c>
    </row>
    <row r="137" spans="2:8" x14ac:dyDescent="0.2">
      <c r="B137" s="5">
        <v>38445.24790862175</v>
      </c>
      <c r="C137" t="s">
        <v>36</v>
      </c>
      <c r="D137" t="s">
        <v>21</v>
      </c>
      <c r="E137" t="s">
        <v>26</v>
      </c>
      <c r="F137" t="s">
        <v>27</v>
      </c>
      <c r="G137">
        <v>970</v>
      </c>
      <c r="H137" s="2">
        <v>1144.8800000000001</v>
      </c>
    </row>
    <row r="138" spans="2:8" x14ac:dyDescent="0.2">
      <c r="B138" s="5">
        <v>38451.509657267168</v>
      </c>
      <c r="C138" t="s">
        <v>36</v>
      </c>
      <c r="D138" t="s">
        <v>6</v>
      </c>
      <c r="E138" t="s">
        <v>26</v>
      </c>
      <c r="F138" t="s">
        <v>27</v>
      </c>
      <c r="G138">
        <v>640</v>
      </c>
      <c r="H138" s="2">
        <v>829.06</v>
      </c>
    </row>
    <row r="139" spans="2:8" x14ac:dyDescent="0.2">
      <c r="B139" s="5">
        <v>38458.96712754928</v>
      </c>
      <c r="C139" t="s">
        <v>37</v>
      </c>
      <c r="D139" t="s">
        <v>22</v>
      </c>
      <c r="E139" t="s">
        <v>26</v>
      </c>
      <c r="F139" t="s">
        <v>27</v>
      </c>
      <c r="G139">
        <v>830</v>
      </c>
      <c r="H139" s="2">
        <v>949.91</v>
      </c>
    </row>
    <row r="140" spans="2:8" x14ac:dyDescent="0.2">
      <c r="B140" s="5">
        <v>38464.191090280423</v>
      </c>
      <c r="C140" t="s">
        <v>3</v>
      </c>
      <c r="D140" t="s">
        <v>8</v>
      </c>
      <c r="E140" t="s">
        <v>26</v>
      </c>
      <c r="F140" t="s">
        <v>27</v>
      </c>
      <c r="G140">
        <v>675</v>
      </c>
      <c r="H140" s="2">
        <v>868.74</v>
      </c>
    </row>
    <row r="141" spans="2:8" x14ac:dyDescent="0.2">
      <c r="B141" s="5">
        <v>38464.608830819656</v>
      </c>
      <c r="C141" t="s">
        <v>36</v>
      </c>
      <c r="D141" t="s">
        <v>8</v>
      </c>
      <c r="E141" t="s">
        <v>26</v>
      </c>
      <c r="F141" t="s">
        <v>27</v>
      </c>
      <c r="G141">
        <v>460</v>
      </c>
      <c r="H141" s="2">
        <v>577.76</v>
      </c>
    </row>
    <row r="142" spans="2:8" x14ac:dyDescent="0.2">
      <c r="B142" s="5">
        <v>38465.975864976594</v>
      </c>
      <c r="C142" t="s">
        <v>3</v>
      </c>
      <c r="D142" t="s">
        <v>10</v>
      </c>
      <c r="E142" t="s">
        <v>26</v>
      </c>
      <c r="F142" t="s">
        <v>27</v>
      </c>
      <c r="G142">
        <v>265</v>
      </c>
      <c r="H142" s="2">
        <v>329.64</v>
      </c>
    </row>
    <row r="143" spans="2:8" x14ac:dyDescent="0.2">
      <c r="B143" s="5">
        <v>38466.56749600359</v>
      </c>
      <c r="C143" t="s">
        <v>0</v>
      </c>
      <c r="D143" t="s">
        <v>24</v>
      </c>
      <c r="E143" t="s">
        <v>26</v>
      </c>
      <c r="F143" t="s">
        <v>27</v>
      </c>
      <c r="G143">
        <v>360</v>
      </c>
      <c r="H143" s="2">
        <v>474.89</v>
      </c>
    </row>
    <row r="144" spans="2:8" x14ac:dyDescent="0.2">
      <c r="B144" s="5">
        <v>38467.801192101382</v>
      </c>
      <c r="C144" t="s">
        <v>0</v>
      </c>
      <c r="D144" t="s">
        <v>21</v>
      </c>
      <c r="E144" t="s">
        <v>26</v>
      </c>
      <c r="F144" t="s">
        <v>27</v>
      </c>
      <c r="G144">
        <v>740</v>
      </c>
      <c r="H144" s="2">
        <v>2141.89</v>
      </c>
    </row>
    <row r="145" spans="2:8" x14ac:dyDescent="0.2">
      <c r="B145" s="5">
        <v>38485.253092596511</v>
      </c>
      <c r="C145" t="s">
        <v>37</v>
      </c>
      <c r="D145" t="s">
        <v>6</v>
      </c>
      <c r="E145" t="s">
        <v>26</v>
      </c>
      <c r="F145" t="s">
        <v>27</v>
      </c>
      <c r="G145">
        <v>655</v>
      </c>
      <c r="H145" s="2">
        <v>799.73</v>
      </c>
    </row>
    <row r="146" spans="2:8" x14ac:dyDescent="0.2">
      <c r="B146" s="5">
        <v>38485.406927400159</v>
      </c>
      <c r="C146" t="s">
        <v>2</v>
      </c>
      <c r="D146" t="s">
        <v>8</v>
      </c>
      <c r="E146" t="s">
        <v>26</v>
      </c>
      <c r="F146" t="s">
        <v>27</v>
      </c>
      <c r="G146">
        <v>5</v>
      </c>
      <c r="H146" s="2">
        <v>5.72</v>
      </c>
    </row>
    <row r="147" spans="2:8" x14ac:dyDescent="0.2">
      <c r="B147" s="5">
        <v>38489.035713090394</v>
      </c>
      <c r="C147" t="s">
        <v>0</v>
      </c>
      <c r="D147" t="s">
        <v>23</v>
      </c>
      <c r="E147" t="s">
        <v>26</v>
      </c>
      <c r="F147" t="s">
        <v>27</v>
      </c>
      <c r="G147">
        <v>470</v>
      </c>
      <c r="H147" s="2">
        <v>1562.53</v>
      </c>
    </row>
    <row r="148" spans="2:8" x14ac:dyDescent="0.2">
      <c r="B148" s="5">
        <v>38489.117222457651</v>
      </c>
      <c r="C148" t="s">
        <v>2</v>
      </c>
      <c r="D148" t="s">
        <v>23</v>
      </c>
      <c r="E148" t="s">
        <v>26</v>
      </c>
      <c r="F148" t="s">
        <v>27</v>
      </c>
      <c r="G148">
        <v>745</v>
      </c>
      <c r="H148" s="2">
        <v>1589.09</v>
      </c>
    </row>
    <row r="149" spans="2:8" x14ac:dyDescent="0.2">
      <c r="B149" s="5">
        <v>38529.399083148186</v>
      </c>
      <c r="C149" t="s">
        <v>4</v>
      </c>
      <c r="D149" t="s">
        <v>12</v>
      </c>
      <c r="E149" t="s">
        <v>26</v>
      </c>
      <c r="F149" t="s">
        <v>27</v>
      </c>
      <c r="G149">
        <v>305</v>
      </c>
      <c r="H149" s="2">
        <v>401.74</v>
      </c>
    </row>
    <row r="150" spans="2:8" x14ac:dyDescent="0.2">
      <c r="B150" s="5">
        <v>38568.760725125474</v>
      </c>
      <c r="C150" t="s">
        <v>36</v>
      </c>
      <c r="D150" t="s">
        <v>16</v>
      </c>
      <c r="E150" t="s">
        <v>26</v>
      </c>
      <c r="F150" t="s">
        <v>27</v>
      </c>
      <c r="G150">
        <v>205</v>
      </c>
      <c r="H150" s="2">
        <v>269.55</v>
      </c>
    </row>
    <row r="151" spans="2:8" x14ac:dyDescent="0.2">
      <c r="B151" s="5">
        <v>38575.959010212937</v>
      </c>
      <c r="C151" t="s">
        <v>36</v>
      </c>
      <c r="D151" t="s">
        <v>14</v>
      </c>
      <c r="E151" t="s">
        <v>26</v>
      </c>
      <c r="F151" t="s">
        <v>27</v>
      </c>
      <c r="G151">
        <v>805</v>
      </c>
      <c r="H151" s="2">
        <v>1025.08</v>
      </c>
    </row>
    <row r="152" spans="2:8" x14ac:dyDescent="0.2">
      <c r="B152" s="5">
        <v>38421.232308921921</v>
      </c>
      <c r="C152" t="s">
        <v>36</v>
      </c>
      <c r="D152" t="s">
        <v>23</v>
      </c>
      <c r="E152" t="s">
        <v>26</v>
      </c>
      <c r="F152" t="s">
        <v>38</v>
      </c>
      <c r="G152">
        <v>135</v>
      </c>
      <c r="H152" s="2">
        <v>375.86</v>
      </c>
    </row>
    <row r="153" spans="2:8" x14ac:dyDescent="0.2">
      <c r="B153" s="5">
        <v>38448.178420534707</v>
      </c>
      <c r="C153" t="s">
        <v>1</v>
      </c>
      <c r="D153" t="s">
        <v>23</v>
      </c>
      <c r="E153" t="s">
        <v>26</v>
      </c>
      <c r="F153" t="s">
        <v>38</v>
      </c>
      <c r="G153">
        <v>700</v>
      </c>
      <c r="H153" s="2">
        <v>5034.1899999999996</v>
      </c>
    </row>
    <row r="154" spans="2:8" x14ac:dyDescent="0.2">
      <c r="B154" s="5">
        <v>38461.680381568105</v>
      </c>
      <c r="C154" t="s">
        <v>2</v>
      </c>
      <c r="D154" t="s">
        <v>23</v>
      </c>
      <c r="E154" t="s">
        <v>26</v>
      </c>
      <c r="F154" t="s">
        <v>38</v>
      </c>
      <c r="G154">
        <v>910</v>
      </c>
      <c r="H154" s="2">
        <v>2502.77</v>
      </c>
    </row>
    <row r="155" spans="2:8" x14ac:dyDescent="0.2">
      <c r="B155" s="5">
        <v>38466.725465985262</v>
      </c>
      <c r="C155" t="s">
        <v>36</v>
      </c>
      <c r="D155" t="s">
        <v>16</v>
      </c>
      <c r="E155" t="s">
        <v>26</v>
      </c>
      <c r="F155" t="s">
        <v>38</v>
      </c>
      <c r="G155">
        <v>45</v>
      </c>
      <c r="H155" s="2">
        <v>129.35</v>
      </c>
    </row>
    <row r="156" spans="2:8" x14ac:dyDescent="0.2">
      <c r="B156" s="5">
        <v>38470.898064159257</v>
      </c>
      <c r="C156" t="s">
        <v>3</v>
      </c>
      <c r="D156" t="s">
        <v>23</v>
      </c>
      <c r="E156" t="s">
        <v>26</v>
      </c>
      <c r="F156" t="s">
        <v>38</v>
      </c>
      <c r="G156">
        <v>315</v>
      </c>
      <c r="H156" s="2">
        <v>2083.09</v>
      </c>
    </row>
    <row r="157" spans="2:8" x14ac:dyDescent="0.2">
      <c r="B157" s="5">
        <v>38477.597364538713</v>
      </c>
      <c r="C157" t="s">
        <v>37</v>
      </c>
      <c r="D157" t="s">
        <v>6</v>
      </c>
      <c r="E157" t="s">
        <v>26</v>
      </c>
      <c r="F157" t="s">
        <v>38</v>
      </c>
      <c r="G157">
        <v>460</v>
      </c>
      <c r="H157" s="2">
        <v>1250.32</v>
      </c>
    </row>
    <row r="158" spans="2:8" x14ac:dyDescent="0.2">
      <c r="B158" s="5">
        <v>38491.454904180093</v>
      </c>
      <c r="C158" t="s">
        <v>36</v>
      </c>
      <c r="D158" t="s">
        <v>10</v>
      </c>
      <c r="E158" t="s">
        <v>26</v>
      </c>
      <c r="F158" t="s">
        <v>38</v>
      </c>
      <c r="G158">
        <v>905</v>
      </c>
      <c r="H158" s="2">
        <v>2643.57</v>
      </c>
    </row>
    <row r="159" spans="2:8" x14ac:dyDescent="0.2">
      <c r="B159" s="5">
        <v>38491.883930444623</v>
      </c>
      <c r="C159" t="s">
        <v>3</v>
      </c>
      <c r="D159" t="s">
        <v>21</v>
      </c>
      <c r="E159" t="s">
        <v>26</v>
      </c>
      <c r="F159" t="s">
        <v>38</v>
      </c>
      <c r="G159">
        <v>70</v>
      </c>
      <c r="H159" s="2">
        <v>487.27</v>
      </c>
    </row>
    <row r="160" spans="2:8" x14ac:dyDescent="0.2">
      <c r="B160" s="5">
        <v>38493.805518502711</v>
      </c>
      <c r="C160" t="s">
        <v>36</v>
      </c>
      <c r="D160" t="s">
        <v>23</v>
      </c>
      <c r="E160" t="s">
        <v>26</v>
      </c>
      <c r="F160" t="s">
        <v>38</v>
      </c>
      <c r="G160">
        <v>315</v>
      </c>
      <c r="H160" s="2">
        <v>2541.7800000000002</v>
      </c>
    </row>
    <row r="161" spans="2:8" x14ac:dyDescent="0.2">
      <c r="B161" s="5">
        <v>38494.674012750016</v>
      </c>
      <c r="C161" t="s">
        <v>0</v>
      </c>
      <c r="D161" t="s">
        <v>7</v>
      </c>
      <c r="E161" t="s">
        <v>26</v>
      </c>
      <c r="F161" t="s">
        <v>38</v>
      </c>
      <c r="G161">
        <v>295</v>
      </c>
      <c r="H161" s="2">
        <v>872.24</v>
      </c>
    </row>
    <row r="162" spans="2:8" x14ac:dyDescent="0.2">
      <c r="B162" s="5">
        <v>38494.851719791695</v>
      </c>
      <c r="C162" t="s">
        <v>36</v>
      </c>
      <c r="D162" t="s">
        <v>22</v>
      </c>
      <c r="E162" t="s">
        <v>26</v>
      </c>
      <c r="F162" t="s">
        <v>38</v>
      </c>
      <c r="G162">
        <v>155</v>
      </c>
      <c r="H162" s="2">
        <v>439.51</v>
      </c>
    </row>
    <row r="163" spans="2:8" x14ac:dyDescent="0.2">
      <c r="B163" s="5">
        <v>38502.35382845714</v>
      </c>
      <c r="C163" t="s">
        <v>36</v>
      </c>
      <c r="D163" t="s">
        <v>6</v>
      </c>
      <c r="E163" t="s">
        <v>26</v>
      </c>
      <c r="F163" t="s">
        <v>38</v>
      </c>
      <c r="G163">
        <v>965</v>
      </c>
      <c r="H163" s="2">
        <v>2926.98</v>
      </c>
    </row>
    <row r="164" spans="2:8" x14ac:dyDescent="0.2">
      <c r="B164" s="5">
        <v>38424.316415309695</v>
      </c>
      <c r="C164" t="s">
        <v>0</v>
      </c>
      <c r="D164" t="s">
        <v>18</v>
      </c>
      <c r="E164" t="s">
        <v>25</v>
      </c>
      <c r="F164" t="s">
        <v>39</v>
      </c>
      <c r="G164">
        <v>445</v>
      </c>
      <c r="H164" s="2">
        <v>460.8</v>
      </c>
    </row>
    <row r="165" spans="2:8" x14ac:dyDescent="0.2">
      <c r="B165" s="5">
        <v>38438.420954070956</v>
      </c>
      <c r="C165" t="s">
        <v>36</v>
      </c>
      <c r="D165" t="s">
        <v>9</v>
      </c>
      <c r="E165" t="s">
        <v>25</v>
      </c>
      <c r="F165" t="s">
        <v>39</v>
      </c>
      <c r="G165">
        <v>690</v>
      </c>
      <c r="H165" s="2">
        <v>270.58999999999997</v>
      </c>
    </row>
    <row r="166" spans="2:8" x14ac:dyDescent="0.2">
      <c r="B166" s="5">
        <v>38455.408400777989</v>
      </c>
      <c r="C166" t="s">
        <v>1</v>
      </c>
      <c r="D166" t="s">
        <v>17</v>
      </c>
      <c r="E166" t="s">
        <v>25</v>
      </c>
      <c r="F166" t="s">
        <v>39</v>
      </c>
      <c r="G166">
        <v>185</v>
      </c>
      <c r="H166" s="2">
        <v>124.87</v>
      </c>
    </row>
    <row r="167" spans="2:8" x14ac:dyDescent="0.2">
      <c r="B167" s="5">
        <v>38456.818680538738</v>
      </c>
      <c r="C167" t="s">
        <v>37</v>
      </c>
      <c r="D167" t="s">
        <v>19</v>
      </c>
      <c r="E167" t="s">
        <v>25</v>
      </c>
      <c r="F167" t="s">
        <v>39</v>
      </c>
      <c r="G167">
        <v>905</v>
      </c>
      <c r="H167" s="2">
        <v>594.37</v>
      </c>
    </row>
    <row r="168" spans="2:8" x14ac:dyDescent="0.2">
      <c r="B168" s="5">
        <v>38468.410224597807</v>
      </c>
      <c r="C168" t="s">
        <v>0</v>
      </c>
      <c r="D168" t="s">
        <v>18</v>
      </c>
      <c r="E168" t="s">
        <v>25</v>
      </c>
      <c r="F168" t="s">
        <v>39</v>
      </c>
      <c r="G168">
        <v>950</v>
      </c>
      <c r="H168" s="2">
        <v>1064.7</v>
      </c>
    </row>
    <row r="169" spans="2:8" x14ac:dyDescent="0.2">
      <c r="B169" s="5">
        <v>38470.007420889895</v>
      </c>
      <c r="C169" t="s">
        <v>37</v>
      </c>
      <c r="D169" t="s">
        <v>12</v>
      </c>
      <c r="E169" t="s">
        <v>25</v>
      </c>
      <c r="F169" t="s">
        <v>39</v>
      </c>
      <c r="G169">
        <v>50</v>
      </c>
      <c r="H169" s="2">
        <v>36.869999999999997</v>
      </c>
    </row>
    <row r="170" spans="2:8" x14ac:dyDescent="0.2">
      <c r="B170" s="5">
        <v>38471.157995618254</v>
      </c>
      <c r="C170" t="s">
        <v>36</v>
      </c>
      <c r="D170" t="s">
        <v>15</v>
      </c>
      <c r="E170" t="s">
        <v>25</v>
      </c>
      <c r="F170" t="s">
        <v>39</v>
      </c>
      <c r="G170">
        <v>180</v>
      </c>
      <c r="H170" s="2">
        <v>117.2</v>
      </c>
    </row>
    <row r="171" spans="2:8" x14ac:dyDescent="0.2">
      <c r="B171" s="5">
        <v>38472.656696896353</v>
      </c>
      <c r="C171" t="s">
        <v>2</v>
      </c>
      <c r="D171" t="s">
        <v>19</v>
      </c>
      <c r="E171" t="s">
        <v>25</v>
      </c>
      <c r="F171" t="s">
        <v>39</v>
      </c>
      <c r="G171">
        <v>110</v>
      </c>
      <c r="H171" s="2">
        <v>100.71</v>
      </c>
    </row>
    <row r="172" spans="2:8" x14ac:dyDescent="0.2">
      <c r="B172" s="5">
        <v>38474.577624792859</v>
      </c>
      <c r="C172" t="s">
        <v>1</v>
      </c>
      <c r="D172" t="s">
        <v>19</v>
      </c>
      <c r="E172" t="s">
        <v>25</v>
      </c>
      <c r="F172" t="s">
        <v>39</v>
      </c>
      <c r="G172">
        <v>465</v>
      </c>
      <c r="H172" s="2">
        <v>201.41</v>
      </c>
    </row>
    <row r="173" spans="2:8" x14ac:dyDescent="0.2">
      <c r="B173" s="5">
        <v>38474.72661916275</v>
      </c>
      <c r="C173" t="s">
        <v>36</v>
      </c>
      <c r="D173" t="s">
        <v>19</v>
      </c>
      <c r="E173" t="s">
        <v>25</v>
      </c>
      <c r="F173" t="s">
        <v>39</v>
      </c>
      <c r="G173">
        <v>325</v>
      </c>
      <c r="H173" s="2">
        <v>289.42</v>
      </c>
    </row>
    <row r="174" spans="2:8" x14ac:dyDescent="0.2">
      <c r="B174" s="5">
        <v>38480.396278820219</v>
      </c>
      <c r="C174" t="s">
        <v>36</v>
      </c>
      <c r="D174" t="s">
        <v>19</v>
      </c>
      <c r="E174" t="s">
        <v>25</v>
      </c>
      <c r="F174" t="s">
        <v>39</v>
      </c>
      <c r="G174">
        <v>615</v>
      </c>
      <c r="H174" s="2">
        <v>630.91999999999996</v>
      </c>
    </row>
    <row r="175" spans="2:8" x14ac:dyDescent="0.2">
      <c r="B175" s="5">
        <v>38496.938018237124</v>
      </c>
      <c r="C175" t="s">
        <v>0</v>
      </c>
      <c r="D175" t="s">
        <v>20</v>
      </c>
      <c r="E175" t="s">
        <v>25</v>
      </c>
      <c r="F175" t="s">
        <v>39</v>
      </c>
      <c r="G175">
        <v>990</v>
      </c>
      <c r="H175" s="2">
        <v>1864.72</v>
      </c>
    </row>
    <row r="176" spans="2:8" x14ac:dyDescent="0.2">
      <c r="B176" s="5">
        <v>38497.276219242434</v>
      </c>
      <c r="C176" t="s">
        <v>37</v>
      </c>
      <c r="D176" t="s">
        <v>15</v>
      </c>
      <c r="E176" t="s">
        <v>25</v>
      </c>
      <c r="F176" t="s">
        <v>39</v>
      </c>
      <c r="G176">
        <v>195</v>
      </c>
      <c r="H176" s="2">
        <v>422.67</v>
      </c>
    </row>
    <row r="177" spans="2:8" x14ac:dyDescent="0.2">
      <c r="B177" s="5">
        <v>38498.760813206914</v>
      </c>
      <c r="C177" t="s">
        <v>4</v>
      </c>
      <c r="D177" t="s">
        <v>18</v>
      </c>
      <c r="E177" t="s">
        <v>25</v>
      </c>
      <c r="F177" t="s">
        <v>39</v>
      </c>
      <c r="G177">
        <v>580</v>
      </c>
      <c r="H177" s="2">
        <v>535.36</v>
      </c>
    </row>
    <row r="178" spans="2:8" x14ac:dyDescent="0.2">
      <c r="B178" s="5">
        <v>38502.27775977274</v>
      </c>
      <c r="C178" t="s">
        <v>2</v>
      </c>
      <c r="D178" t="s">
        <v>9</v>
      </c>
      <c r="E178" t="s">
        <v>25</v>
      </c>
      <c r="F178" t="s">
        <v>39</v>
      </c>
      <c r="G178">
        <v>140</v>
      </c>
      <c r="H178" s="2">
        <v>57.18</v>
      </c>
    </row>
    <row r="179" spans="2:8" x14ac:dyDescent="0.2">
      <c r="B179" s="5">
        <v>38503.371050115624</v>
      </c>
      <c r="C179" t="s">
        <v>36</v>
      </c>
      <c r="D179" t="s">
        <v>8</v>
      </c>
      <c r="E179" t="s">
        <v>25</v>
      </c>
      <c r="F179" t="s">
        <v>39</v>
      </c>
      <c r="G179">
        <v>510</v>
      </c>
      <c r="H179" s="2">
        <v>344.06</v>
      </c>
    </row>
    <row r="180" spans="2:8" x14ac:dyDescent="0.2">
      <c r="B180" s="5">
        <v>38503.869903854546</v>
      </c>
      <c r="C180" t="s">
        <v>36</v>
      </c>
      <c r="D180" t="s">
        <v>20</v>
      </c>
      <c r="E180" t="s">
        <v>25</v>
      </c>
      <c r="F180" t="s">
        <v>39</v>
      </c>
      <c r="G180">
        <v>830</v>
      </c>
      <c r="H180" s="2">
        <v>604.64</v>
      </c>
    </row>
    <row r="181" spans="2:8" x14ac:dyDescent="0.2">
      <c r="B181" s="5">
        <v>38506.143543018843</v>
      </c>
      <c r="C181" t="s">
        <v>2</v>
      </c>
      <c r="D181" t="s">
        <v>18</v>
      </c>
      <c r="E181" t="s">
        <v>25</v>
      </c>
      <c r="F181" t="s">
        <v>39</v>
      </c>
      <c r="G181">
        <v>770</v>
      </c>
      <c r="H181" s="2">
        <v>342.82</v>
      </c>
    </row>
    <row r="182" spans="2:8" x14ac:dyDescent="0.2">
      <c r="B182" s="5">
        <v>38506.446749428695</v>
      </c>
      <c r="C182" t="s">
        <v>2</v>
      </c>
      <c r="D182" t="s">
        <v>19</v>
      </c>
      <c r="E182" t="s">
        <v>25</v>
      </c>
      <c r="F182" t="s">
        <v>39</v>
      </c>
      <c r="G182">
        <v>135</v>
      </c>
      <c r="H182" s="2">
        <v>96.93</v>
      </c>
    </row>
    <row r="183" spans="2:8" x14ac:dyDescent="0.2">
      <c r="B183" s="5">
        <v>38511.750132488465</v>
      </c>
      <c r="C183" t="s">
        <v>2</v>
      </c>
      <c r="D183" t="s">
        <v>9</v>
      </c>
      <c r="E183" t="s">
        <v>25</v>
      </c>
      <c r="F183" t="s">
        <v>39</v>
      </c>
      <c r="G183">
        <v>40</v>
      </c>
      <c r="H183" s="2">
        <v>43.5</v>
      </c>
    </row>
    <row r="184" spans="2:8" x14ac:dyDescent="0.2">
      <c r="B184" s="5">
        <v>38512.519237026107</v>
      </c>
      <c r="C184" t="s">
        <v>0</v>
      </c>
      <c r="D184" t="s">
        <v>18</v>
      </c>
      <c r="E184" t="s">
        <v>25</v>
      </c>
      <c r="F184" t="s">
        <v>39</v>
      </c>
      <c r="G184">
        <v>55</v>
      </c>
      <c r="H184" s="2">
        <v>56.57</v>
      </c>
    </row>
    <row r="185" spans="2:8" x14ac:dyDescent="0.2">
      <c r="B185" s="5">
        <v>38522.652453154944</v>
      </c>
      <c r="C185" t="s">
        <v>0</v>
      </c>
      <c r="D185" t="s">
        <v>18</v>
      </c>
      <c r="E185" t="s">
        <v>25</v>
      </c>
      <c r="F185" t="s">
        <v>39</v>
      </c>
      <c r="G185">
        <v>665</v>
      </c>
      <c r="H185" s="2">
        <v>644.05999999999995</v>
      </c>
    </row>
    <row r="186" spans="2:8" x14ac:dyDescent="0.2">
      <c r="B186" s="5">
        <v>38525.360252248007</v>
      </c>
      <c r="C186" t="s">
        <v>4</v>
      </c>
      <c r="D186" t="s">
        <v>9</v>
      </c>
      <c r="E186" t="s">
        <v>25</v>
      </c>
      <c r="F186" t="s">
        <v>39</v>
      </c>
      <c r="G186">
        <v>505</v>
      </c>
      <c r="H186" s="2">
        <v>2313.0100000000002</v>
      </c>
    </row>
    <row r="187" spans="2:8" x14ac:dyDescent="0.2">
      <c r="B187" s="5">
        <v>38527.833453033127</v>
      </c>
      <c r="C187" t="s">
        <v>0</v>
      </c>
      <c r="D187" t="s">
        <v>9</v>
      </c>
      <c r="E187" t="s">
        <v>25</v>
      </c>
      <c r="F187" t="s">
        <v>39</v>
      </c>
      <c r="G187">
        <v>40</v>
      </c>
      <c r="H187" s="2">
        <v>40.28</v>
      </c>
    </row>
    <row r="188" spans="2:8" x14ac:dyDescent="0.2">
      <c r="B188" s="5">
        <v>38529.984614829948</v>
      </c>
      <c r="C188" t="s">
        <v>37</v>
      </c>
      <c r="D188" t="s">
        <v>22</v>
      </c>
      <c r="E188" t="s">
        <v>25</v>
      </c>
      <c r="F188" t="s">
        <v>39</v>
      </c>
      <c r="G188">
        <v>295</v>
      </c>
      <c r="H188" s="2">
        <v>215.16</v>
      </c>
    </row>
    <row r="189" spans="2:8" x14ac:dyDescent="0.2">
      <c r="B189" s="5">
        <v>38532.091557279302</v>
      </c>
      <c r="C189" t="s">
        <v>4</v>
      </c>
      <c r="D189" t="s">
        <v>17</v>
      </c>
      <c r="E189" t="s">
        <v>25</v>
      </c>
      <c r="F189" t="s">
        <v>39</v>
      </c>
      <c r="G189">
        <v>440</v>
      </c>
      <c r="H189" s="2">
        <v>1293.47</v>
      </c>
    </row>
    <row r="190" spans="2:8" x14ac:dyDescent="0.2">
      <c r="B190" s="5">
        <v>38534.991076412414</v>
      </c>
      <c r="C190" t="s">
        <v>0</v>
      </c>
      <c r="D190" t="s">
        <v>16</v>
      </c>
      <c r="E190" t="s">
        <v>25</v>
      </c>
      <c r="F190" t="s">
        <v>39</v>
      </c>
      <c r="G190">
        <v>690</v>
      </c>
      <c r="H190" s="2">
        <v>2574.77</v>
      </c>
    </row>
    <row r="191" spans="2:8" x14ac:dyDescent="0.2">
      <c r="B191" s="5">
        <v>38571.20580097779</v>
      </c>
      <c r="C191" t="s">
        <v>4</v>
      </c>
      <c r="D191" t="s">
        <v>9</v>
      </c>
      <c r="E191" t="s">
        <v>25</v>
      </c>
      <c r="F191" t="s">
        <v>39</v>
      </c>
      <c r="G191">
        <v>285</v>
      </c>
      <c r="H191" s="2">
        <v>198.82</v>
      </c>
    </row>
    <row r="192" spans="2:8" x14ac:dyDescent="0.2">
      <c r="B192" s="5">
        <v>38429.738448938107</v>
      </c>
      <c r="C192" t="s">
        <v>2</v>
      </c>
      <c r="D192" t="s">
        <v>16</v>
      </c>
      <c r="E192" t="s">
        <v>25</v>
      </c>
      <c r="F192" t="s">
        <v>43</v>
      </c>
      <c r="G192">
        <v>95</v>
      </c>
      <c r="H192" s="2">
        <v>349.24</v>
      </c>
    </row>
    <row r="193" spans="2:8" x14ac:dyDescent="0.2">
      <c r="B193" s="5">
        <v>38440.79522832096</v>
      </c>
      <c r="C193" t="s">
        <v>1</v>
      </c>
      <c r="D193" t="s">
        <v>22</v>
      </c>
      <c r="E193" t="s">
        <v>25</v>
      </c>
      <c r="F193" t="s">
        <v>43</v>
      </c>
      <c r="G193">
        <v>765</v>
      </c>
      <c r="H193" s="2">
        <v>2466.41</v>
      </c>
    </row>
    <row r="194" spans="2:8" x14ac:dyDescent="0.2">
      <c r="B194" s="5">
        <v>38445.867356571049</v>
      </c>
      <c r="C194" t="s">
        <v>1</v>
      </c>
      <c r="D194" t="s">
        <v>24</v>
      </c>
      <c r="E194" t="s">
        <v>25</v>
      </c>
      <c r="F194" t="s">
        <v>43</v>
      </c>
      <c r="G194">
        <v>635</v>
      </c>
      <c r="H194" s="2">
        <v>2002.72</v>
      </c>
    </row>
    <row r="195" spans="2:8" x14ac:dyDescent="0.2">
      <c r="B195" s="5">
        <v>38457.104672375455</v>
      </c>
      <c r="C195" t="s">
        <v>37</v>
      </c>
      <c r="D195" t="s">
        <v>16</v>
      </c>
      <c r="E195" t="s">
        <v>25</v>
      </c>
      <c r="F195" t="s">
        <v>43</v>
      </c>
      <c r="G195">
        <v>530</v>
      </c>
      <c r="H195" s="2">
        <v>1945.81</v>
      </c>
    </row>
    <row r="196" spans="2:8" x14ac:dyDescent="0.2">
      <c r="B196" s="5">
        <v>38458.92498304139</v>
      </c>
      <c r="C196" t="s">
        <v>2</v>
      </c>
      <c r="D196" t="s">
        <v>9</v>
      </c>
      <c r="E196" t="s">
        <v>25</v>
      </c>
      <c r="F196" t="s">
        <v>43</v>
      </c>
      <c r="G196">
        <v>795</v>
      </c>
      <c r="H196" s="2">
        <v>3912.08</v>
      </c>
    </row>
    <row r="197" spans="2:8" x14ac:dyDescent="0.2">
      <c r="B197" s="5">
        <v>38470.886619232791</v>
      </c>
      <c r="C197" t="s">
        <v>37</v>
      </c>
      <c r="D197" t="s">
        <v>18</v>
      </c>
      <c r="E197" t="s">
        <v>25</v>
      </c>
      <c r="F197" t="s">
        <v>43</v>
      </c>
      <c r="G197">
        <v>375</v>
      </c>
      <c r="H197" s="2">
        <v>1774.32</v>
      </c>
    </row>
    <row r="198" spans="2:8" x14ac:dyDescent="0.2">
      <c r="B198" s="5">
        <v>38481.361467594092</v>
      </c>
      <c r="C198" t="s">
        <v>3</v>
      </c>
      <c r="D198" t="s">
        <v>7</v>
      </c>
      <c r="E198" t="s">
        <v>25</v>
      </c>
      <c r="F198" t="s">
        <v>43</v>
      </c>
      <c r="G198">
        <v>160</v>
      </c>
      <c r="H198" s="2">
        <v>503.11</v>
      </c>
    </row>
    <row r="199" spans="2:8" x14ac:dyDescent="0.2">
      <c r="B199" s="5">
        <v>38492.521981829115</v>
      </c>
      <c r="C199" t="s">
        <v>1</v>
      </c>
      <c r="D199" t="s">
        <v>7</v>
      </c>
      <c r="E199" t="s">
        <v>25</v>
      </c>
      <c r="F199" t="s">
        <v>43</v>
      </c>
      <c r="G199">
        <v>145</v>
      </c>
      <c r="H199" s="2">
        <v>488.91</v>
      </c>
    </row>
    <row r="200" spans="2:8" x14ac:dyDescent="0.2">
      <c r="B200" s="5">
        <v>38504.067585266901</v>
      </c>
      <c r="C200" t="s">
        <v>36</v>
      </c>
      <c r="D200" t="s">
        <v>5</v>
      </c>
      <c r="E200" t="s">
        <v>25</v>
      </c>
      <c r="F200" t="s">
        <v>43</v>
      </c>
      <c r="G200">
        <v>495</v>
      </c>
      <c r="H200" s="2">
        <v>1768.32</v>
      </c>
    </row>
    <row r="201" spans="2:8" x14ac:dyDescent="0.2">
      <c r="B201" s="5">
        <v>38504.074215622015</v>
      </c>
      <c r="C201" t="s">
        <v>4</v>
      </c>
      <c r="D201" t="s">
        <v>18</v>
      </c>
      <c r="E201" t="s">
        <v>25</v>
      </c>
      <c r="F201" t="s">
        <v>43</v>
      </c>
      <c r="G201">
        <v>140</v>
      </c>
      <c r="H201" s="2">
        <v>718.39</v>
      </c>
    </row>
    <row r="202" spans="2:8" x14ac:dyDescent="0.2">
      <c r="B202" s="5">
        <v>38505.597972810996</v>
      </c>
      <c r="C202" t="s">
        <v>0</v>
      </c>
      <c r="D202" t="s">
        <v>18</v>
      </c>
      <c r="E202" t="s">
        <v>25</v>
      </c>
      <c r="F202" t="s">
        <v>43</v>
      </c>
      <c r="G202">
        <v>955</v>
      </c>
      <c r="H202" s="2">
        <v>5181.1000000000004</v>
      </c>
    </row>
    <row r="203" spans="2:8" x14ac:dyDescent="0.2">
      <c r="B203" s="5">
        <v>38534.405624520019</v>
      </c>
      <c r="C203" t="s">
        <v>36</v>
      </c>
      <c r="D203" t="s">
        <v>18</v>
      </c>
      <c r="E203" t="s">
        <v>25</v>
      </c>
      <c r="F203" t="s">
        <v>43</v>
      </c>
      <c r="G203">
        <v>880</v>
      </c>
      <c r="H203" s="2">
        <v>3241.56</v>
      </c>
    </row>
    <row r="204" spans="2:8" x14ac:dyDescent="0.2">
      <c r="B204" s="5">
        <v>38563.767534189305</v>
      </c>
      <c r="C204" t="s">
        <v>4</v>
      </c>
      <c r="D204" t="s">
        <v>20</v>
      </c>
      <c r="E204" t="s">
        <v>25</v>
      </c>
      <c r="F204" t="s">
        <v>43</v>
      </c>
      <c r="G204">
        <v>685</v>
      </c>
      <c r="H204" s="2">
        <v>2343.4899999999998</v>
      </c>
    </row>
    <row r="205" spans="2:8" x14ac:dyDescent="0.2">
      <c r="B205" s="5">
        <v>38450.367884188629</v>
      </c>
      <c r="C205" t="s">
        <v>2</v>
      </c>
      <c r="D205" t="s">
        <v>18</v>
      </c>
      <c r="E205" t="s">
        <v>25</v>
      </c>
      <c r="F205" t="s">
        <v>40</v>
      </c>
      <c r="G205">
        <v>510</v>
      </c>
      <c r="H205" s="2">
        <v>743.06</v>
      </c>
    </row>
    <row r="206" spans="2:8" x14ac:dyDescent="0.2">
      <c r="B206" s="5">
        <v>38461.583673806999</v>
      </c>
      <c r="C206" t="s">
        <v>37</v>
      </c>
      <c r="D206" t="s">
        <v>10</v>
      </c>
      <c r="E206" t="s">
        <v>25</v>
      </c>
      <c r="F206" t="s">
        <v>40</v>
      </c>
      <c r="G206">
        <v>920</v>
      </c>
      <c r="H206" s="2">
        <v>1346.2</v>
      </c>
    </row>
    <row r="207" spans="2:8" x14ac:dyDescent="0.2">
      <c r="B207" s="5">
        <v>38468.902975448953</v>
      </c>
      <c r="C207" t="s">
        <v>2</v>
      </c>
      <c r="D207" t="s">
        <v>18</v>
      </c>
      <c r="E207" t="s">
        <v>25</v>
      </c>
      <c r="F207" t="s">
        <v>40</v>
      </c>
      <c r="G207">
        <v>950</v>
      </c>
      <c r="H207" s="2">
        <v>1970.76</v>
      </c>
    </row>
    <row r="208" spans="2:8" x14ac:dyDescent="0.2">
      <c r="B208" s="5">
        <v>38470.979298391117</v>
      </c>
      <c r="C208" t="s">
        <v>2</v>
      </c>
      <c r="D208" t="s">
        <v>22</v>
      </c>
      <c r="E208" t="s">
        <v>25</v>
      </c>
      <c r="F208" t="s">
        <v>40</v>
      </c>
      <c r="G208">
        <v>950</v>
      </c>
      <c r="H208" s="2">
        <v>1205.7</v>
      </c>
    </row>
    <row r="209" spans="2:8" x14ac:dyDescent="0.2">
      <c r="B209" s="5">
        <v>38483.837588033777</v>
      </c>
      <c r="C209" t="s">
        <v>2</v>
      </c>
      <c r="D209" t="s">
        <v>18</v>
      </c>
      <c r="E209" t="s">
        <v>25</v>
      </c>
      <c r="F209" t="s">
        <v>40</v>
      </c>
      <c r="G209">
        <v>440</v>
      </c>
      <c r="H209" s="2">
        <v>581.11</v>
      </c>
    </row>
    <row r="210" spans="2:8" x14ac:dyDescent="0.2">
      <c r="B210" s="5">
        <v>38513.817517922398</v>
      </c>
      <c r="C210" t="s">
        <v>0</v>
      </c>
      <c r="D210" t="s">
        <v>18</v>
      </c>
      <c r="E210" t="s">
        <v>25</v>
      </c>
      <c r="F210" t="s">
        <v>40</v>
      </c>
      <c r="G210">
        <v>505</v>
      </c>
      <c r="H210" s="2">
        <v>734.11</v>
      </c>
    </row>
    <row r="211" spans="2:8" x14ac:dyDescent="0.2">
      <c r="B211" s="5">
        <v>38451.899413907253</v>
      </c>
      <c r="C211" t="s">
        <v>3</v>
      </c>
      <c r="D211" t="s">
        <v>24</v>
      </c>
      <c r="E211" t="s">
        <v>25</v>
      </c>
      <c r="F211" t="s">
        <v>28</v>
      </c>
      <c r="G211">
        <v>740</v>
      </c>
      <c r="H211" s="2">
        <v>2156.4699999999998</v>
      </c>
    </row>
    <row r="212" spans="2:8" x14ac:dyDescent="0.2">
      <c r="B212" s="5">
        <v>38461.017295312966</v>
      </c>
      <c r="C212" t="s">
        <v>3</v>
      </c>
      <c r="D212" t="s">
        <v>10</v>
      </c>
      <c r="E212" t="s">
        <v>25</v>
      </c>
      <c r="F212" t="s">
        <v>28</v>
      </c>
      <c r="G212">
        <v>735</v>
      </c>
      <c r="H212" s="2">
        <v>1874.23</v>
      </c>
    </row>
    <row r="213" spans="2:8" x14ac:dyDescent="0.2">
      <c r="B213" s="5">
        <v>38462.413214898712</v>
      </c>
      <c r="C213" t="s">
        <v>1</v>
      </c>
      <c r="D213" t="s">
        <v>11</v>
      </c>
      <c r="E213" t="s">
        <v>25</v>
      </c>
      <c r="F213" t="s">
        <v>28</v>
      </c>
      <c r="G213">
        <v>440</v>
      </c>
      <c r="H213" s="2">
        <v>1118.19</v>
      </c>
    </row>
    <row r="214" spans="2:8" x14ac:dyDescent="0.2">
      <c r="B214" s="5">
        <v>38465.224519692187</v>
      </c>
      <c r="C214" t="s">
        <v>2</v>
      </c>
      <c r="D214" t="s">
        <v>18</v>
      </c>
      <c r="E214" t="s">
        <v>25</v>
      </c>
      <c r="F214" t="s">
        <v>28</v>
      </c>
      <c r="G214">
        <v>720</v>
      </c>
      <c r="H214" s="2">
        <v>2014.77</v>
      </c>
    </row>
    <row r="215" spans="2:8" x14ac:dyDescent="0.2">
      <c r="B215" s="5">
        <v>38465.428697474556</v>
      </c>
      <c r="C215" t="s">
        <v>0</v>
      </c>
      <c r="D215" t="s">
        <v>18</v>
      </c>
      <c r="E215" t="s">
        <v>25</v>
      </c>
      <c r="F215" t="s">
        <v>28</v>
      </c>
      <c r="G215">
        <v>625</v>
      </c>
      <c r="H215" s="2">
        <v>2198.1</v>
      </c>
    </row>
    <row r="216" spans="2:8" x14ac:dyDescent="0.2">
      <c r="B216" s="5">
        <v>38489.427218937948</v>
      </c>
      <c r="C216" t="s">
        <v>37</v>
      </c>
      <c r="D216" t="s">
        <v>10</v>
      </c>
      <c r="E216" t="s">
        <v>25</v>
      </c>
      <c r="F216" t="s">
        <v>28</v>
      </c>
      <c r="G216">
        <v>520</v>
      </c>
      <c r="H216" s="2">
        <v>1330.83</v>
      </c>
    </row>
    <row r="217" spans="2:8" x14ac:dyDescent="0.2">
      <c r="B217" s="5">
        <v>38498.715392262464</v>
      </c>
      <c r="C217" t="s">
        <v>37</v>
      </c>
      <c r="D217" t="s">
        <v>18</v>
      </c>
      <c r="E217" t="s">
        <v>25</v>
      </c>
      <c r="F217" t="s">
        <v>28</v>
      </c>
      <c r="G217">
        <v>520</v>
      </c>
      <c r="H217" s="2">
        <v>2418.7199999999998</v>
      </c>
    </row>
    <row r="218" spans="2:8" x14ac:dyDescent="0.2">
      <c r="B218" s="5">
        <v>38517.388818623673</v>
      </c>
      <c r="C218" t="s">
        <v>4</v>
      </c>
      <c r="D218" t="s">
        <v>7</v>
      </c>
      <c r="E218" t="s">
        <v>25</v>
      </c>
      <c r="F218" t="s">
        <v>28</v>
      </c>
      <c r="G218">
        <v>95</v>
      </c>
      <c r="H218" s="2">
        <v>246</v>
      </c>
    </row>
    <row r="219" spans="2:8" x14ac:dyDescent="0.2">
      <c r="B219" s="5">
        <v>38524.580725806023</v>
      </c>
      <c r="C219" t="s">
        <v>37</v>
      </c>
      <c r="D219" t="s">
        <v>16</v>
      </c>
      <c r="E219" t="s">
        <v>25</v>
      </c>
      <c r="F219" t="s">
        <v>28</v>
      </c>
      <c r="G219">
        <v>955</v>
      </c>
      <c r="H219" s="2">
        <v>2580.19</v>
      </c>
    </row>
    <row r="220" spans="2:8" x14ac:dyDescent="0.2">
      <c r="B220" s="5">
        <v>38451.528218503103</v>
      </c>
      <c r="C220" t="s">
        <v>0</v>
      </c>
      <c r="D220" t="s">
        <v>18</v>
      </c>
      <c r="E220" t="s">
        <v>25</v>
      </c>
      <c r="F220" t="s">
        <v>41</v>
      </c>
      <c r="G220">
        <v>425</v>
      </c>
      <c r="H220" s="2">
        <v>1376.41</v>
      </c>
    </row>
    <row r="221" spans="2:8" x14ac:dyDescent="0.2">
      <c r="B221" s="5">
        <v>38455.795931291883</v>
      </c>
      <c r="C221" t="s">
        <v>37</v>
      </c>
      <c r="D221" t="s">
        <v>16</v>
      </c>
      <c r="E221" t="s">
        <v>25</v>
      </c>
      <c r="F221" t="s">
        <v>41</v>
      </c>
      <c r="G221">
        <v>675</v>
      </c>
      <c r="H221" s="2">
        <v>1513.81</v>
      </c>
    </row>
    <row r="222" spans="2:8" x14ac:dyDescent="0.2">
      <c r="B222" s="5">
        <v>38455.796169425936</v>
      </c>
      <c r="C222" t="s">
        <v>1</v>
      </c>
      <c r="D222" t="s">
        <v>19</v>
      </c>
      <c r="E222" t="s">
        <v>25</v>
      </c>
      <c r="F222" t="s">
        <v>41</v>
      </c>
      <c r="G222">
        <v>245</v>
      </c>
      <c r="H222" s="2">
        <v>500.87</v>
      </c>
    </row>
    <row r="223" spans="2:8" x14ac:dyDescent="0.2">
      <c r="B223" s="5">
        <v>38456.448092118102</v>
      </c>
      <c r="C223" t="s">
        <v>3</v>
      </c>
      <c r="D223" t="s">
        <v>5</v>
      </c>
      <c r="E223" t="s">
        <v>25</v>
      </c>
      <c r="F223" t="s">
        <v>41</v>
      </c>
      <c r="G223">
        <v>795</v>
      </c>
      <c r="H223" s="2">
        <v>1502.46</v>
      </c>
    </row>
    <row r="224" spans="2:8" x14ac:dyDescent="0.2">
      <c r="B224" s="5">
        <v>38470.301361717342</v>
      </c>
      <c r="C224" t="s">
        <v>2</v>
      </c>
      <c r="D224" t="s">
        <v>14</v>
      </c>
      <c r="E224" t="s">
        <v>25</v>
      </c>
      <c r="F224" t="s">
        <v>41</v>
      </c>
      <c r="G224">
        <v>130</v>
      </c>
      <c r="H224" s="2">
        <v>275.98</v>
      </c>
    </row>
    <row r="225" spans="2:8" x14ac:dyDescent="0.2">
      <c r="B225" s="5">
        <v>38483.018804945699</v>
      </c>
      <c r="C225" t="s">
        <v>37</v>
      </c>
      <c r="D225" t="s">
        <v>21</v>
      </c>
      <c r="E225" t="s">
        <v>25</v>
      </c>
      <c r="F225" t="s">
        <v>41</v>
      </c>
      <c r="G225">
        <v>400</v>
      </c>
      <c r="H225" s="2">
        <v>869.45</v>
      </c>
    </row>
    <row r="226" spans="2:8" x14ac:dyDescent="0.2">
      <c r="B226" s="5">
        <v>38489.633348071322</v>
      </c>
      <c r="C226" t="s">
        <v>37</v>
      </c>
      <c r="D226" t="s">
        <v>21</v>
      </c>
      <c r="E226" t="s">
        <v>25</v>
      </c>
      <c r="F226" t="s">
        <v>41</v>
      </c>
      <c r="G226">
        <v>730</v>
      </c>
      <c r="H226" s="2">
        <v>1488.03</v>
      </c>
    </row>
    <row r="227" spans="2:8" x14ac:dyDescent="0.2">
      <c r="B227" s="5">
        <v>38496.547692689717</v>
      </c>
      <c r="C227" t="s">
        <v>37</v>
      </c>
      <c r="D227" t="s">
        <v>17</v>
      </c>
      <c r="E227" t="s">
        <v>25</v>
      </c>
      <c r="F227" t="s">
        <v>41</v>
      </c>
      <c r="G227">
        <v>960</v>
      </c>
      <c r="H227" s="2">
        <v>2047.3</v>
      </c>
    </row>
    <row r="228" spans="2:8" x14ac:dyDescent="0.2">
      <c r="B228" s="5">
        <v>38517.756176619951</v>
      </c>
      <c r="C228" t="s">
        <v>37</v>
      </c>
      <c r="D228" t="s">
        <v>15</v>
      </c>
      <c r="E228" t="s">
        <v>25</v>
      </c>
      <c r="F228" t="s">
        <v>41</v>
      </c>
      <c r="G228">
        <v>310</v>
      </c>
      <c r="H228" s="2">
        <v>621.45000000000005</v>
      </c>
    </row>
    <row r="229" spans="2:8" x14ac:dyDescent="0.2">
      <c r="B229" s="5">
        <v>38580.076861801848</v>
      </c>
      <c r="C229" t="s">
        <v>0</v>
      </c>
      <c r="D229" t="s">
        <v>7</v>
      </c>
      <c r="E229" t="s">
        <v>25</v>
      </c>
      <c r="F229" t="s">
        <v>41</v>
      </c>
      <c r="G229">
        <v>975</v>
      </c>
      <c r="H229" s="2">
        <v>1834.25</v>
      </c>
    </row>
    <row r="230" spans="2:8" x14ac:dyDescent="0.2">
      <c r="B230" s="5">
        <v>38590.531868099577</v>
      </c>
      <c r="C230" t="s">
        <v>4</v>
      </c>
      <c r="D230" t="s">
        <v>13</v>
      </c>
      <c r="E230" t="s">
        <v>25</v>
      </c>
      <c r="F230" t="s">
        <v>41</v>
      </c>
      <c r="G230">
        <v>60</v>
      </c>
      <c r="H230" s="2">
        <v>134.16</v>
      </c>
    </row>
    <row r="231" spans="2:8" x14ac:dyDescent="0.2">
      <c r="B231" s="5">
        <v>38410.433606750827</v>
      </c>
      <c r="C231" t="s">
        <v>37</v>
      </c>
      <c r="D231" t="s">
        <v>13</v>
      </c>
      <c r="E231" t="s">
        <v>25</v>
      </c>
      <c r="F231" t="s">
        <v>27</v>
      </c>
      <c r="G231">
        <v>815</v>
      </c>
      <c r="H231" s="2">
        <v>2564</v>
      </c>
    </row>
    <row r="232" spans="2:8" x14ac:dyDescent="0.2">
      <c r="B232" s="5">
        <v>38460.06335496933</v>
      </c>
      <c r="C232" t="s">
        <v>0</v>
      </c>
      <c r="D232" t="s">
        <v>18</v>
      </c>
      <c r="E232" t="s">
        <v>25</v>
      </c>
      <c r="F232" t="s">
        <v>27</v>
      </c>
      <c r="G232">
        <v>835</v>
      </c>
      <c r="H232" s="2">
        <v>2524.39</v>
      </c>
    </row>
    <row r="233" spans="2:8" x14ac:dyDescent="0.2">
      <c r="B233" s="5">
        <v>38464.014275481975</v>
      </c>
      <c r="C233" t="s">
        <v>1</v>
      </c>
      <c r="D233" t="s">
        <v>6</v>
      </c>
      <c r="E233" t="s">
        <v>25</v>
      </c>
      <c r="F233" t="s">
        <v>27</v>
      </c>
      <c r="G233">
        <v>290</v>
      </c>
      <c r="H233" s="2">
        <v>573.73</v>
      </c>
    </row>
    <row r="234" spans="2:8" x14ac:dyDescent="0.2">
      <c r="B234" s="5">
        <v>38475.983660759259</v>
      </c>
      <c r="C234" t="s">
        <v>1</v>
      </c>
      <c r="D234" t="s">
        <v>8</v>
      </c>
      <c r="E234" t="s">
        <v>25</v>
      </c>
      <c r="F234" t="s">
        <v>27</v>
      </c>
      <c r="G234">
        <v>800</v>
      </c>
      <c r="H234" s="2">
        <v>1594.81</v>
      </c>
    </row>
    <row r="235" spans="2:8" x14ac:dyDescent="0.2">
      <c r="B235" s="5">
        <v>38477.757414536187</v>
      </c>
      <c r="C235" t="s">
        <v>1</v>
      </c>
      <c r="D235" t="s">
        <v>18</v>
      </c>
      <c r="E235" t="s">
        <v>25</v>
      </c>
      <c r="F235" t="s">
        <v>27</v>
      </c>
      <c r="G235">
        <v>905</v>
      </c>
      <c r="H235" s="2">
        <v>2673.33</v>
      </c>
    </row>
    <row r="236" spans="2:8" x14ac:dyDescent="0.2">
      <c r="B236" s="5">
        <v>38483.566367878469</v>
      </c>
      <c r="C236" t="s">
        <v>3</v>
      </c>
      <c r="D236" t="s">
        <v>21</v>
      </c>
      <c r="E236" t="s">
        <v>25</v>
      </c>
      <c r="F236" t="s">
        <v>27</v>
      </c>
      <c r="G236">
        <v>145</v>
      </c>
      <c r="H236" s="2">
        <v>312.55</v>
      </c>
    </row>
    <row r="237" spans="2:8" x14ac:dyDescent="0.2">
      <c r="B237" s="5">
        <v>38490.535499195081</v>
      </c>
      <c r="C237" t="s">
        <v>37</v>
      </c>
      <c r="D237" t="s">
        <v>6</v>
      </c>
      <c r="E237" t="s">
        <v>25</v>
      </c>
      <c r="F237" t="s">
        <v>27</v>
      </c>
      <c r="G237">
        <v>185</v>
      </c>
      <c r="H237" s="2">
        <v>379.72</v>
      </c>
    </row>
    <row r="238" spans="2:8" x14ac:dyDescent="0.2">
      <c r="B238" s="5">
        <v>38490.760700159321</v>
      </c>
      <c r="C238" t="s">
        <v>37</v>
      </c>
      <c r="D238" t="s">
        <v>20</v>
      </c>
      <c r="E238" t="s">
        <v>25</v>
      </c>
      <c r="F238" t="s">
        <v>27</v>
      </c>
      <c r="G238">
        <v>360</v>
      </c>
      <c r="H238" s="2">
        <v>696.22</v>
      </c>
    </row>
    <row r="239" spans="2:8" x14ac:dyDescent="0.2">
      <c r="B239" s="5">
        <v>38493.843400308841</v>
      </c>
      <c r="C239" t="s">
        <v>4</v>
      </c>
      <c r="D239" t="s">
        <v>20</v>
      </c>
      <c r="E239" t="s">
        <v>25</v>
      </c>
      <c r="F239" t="s">
        <v>27</v>
      </c>
      <c r="G239">
        <v>630</v>
      </c>
      <c r="H239" s="2">
        <v>1335.69</v>
      </c>
    </row>
    <row r="240" spans="2:8" x14ac:dyDescent="0.2">
      <c r="B240" s="5">
        <v>38497.305965282452</v>
      </c>
      <c r="C240" t="s">
        <v>36</v>
      </c>
      <c r="D240" t="s">
        <v>19</v>
      </c>
      <c r="E240" t="s">
        <v>25</v>
      </c>
      <c r="F240" t="s">
        <v>27</v>
      </c>
      <c r="G240">
        <v>685</v>
      </c>
      <c r="H240" s="2">
        <v>1443.07</v>
      </c>
    </row>
    <row r="241" spans="2:8" x14ac:dyDescent="0.2">
      <c r="B241" s="5">
        <v>38501.869321122882</v>
      </c>
      <c r="C241" t="s">
        <v>36</v>
      </c>
      <c r="D241" t="s">
        <v>17</v>
      </c>
      <c r="E241" t="s">
        <v>25</v>
      </c>
      <c r="F241" t="s">
        <v>27</v>
      </c>
      <c r="G241">
        <v>375</v>
      </c>
      <c r="H241" s="2">
        <v>1090.97</v>
      </c>
    </row>
    <row r="242" spans="2:8" x14ac:dyDescent="0.2">
      <c r="B242" s="5">
        <v>38502.563020479603</v>
      </c>
      <c r="C242" t="s">
        <v>0</v>
      </c>
      <c r="D242" t="s">
        <v>5</v>
      </c>
      <c r="E242" t="s">
        <v>25</v>
      </c>
      <c r="F242" t="s">
        <v>27</v>
      </c>
      <c r="G242">
        <v>90</v>
      </c>
      <c r="H242" s="2">
        <v>256.77999999999997</v>
      </c>
    </row>
    <row r="243" spans="2:8" x14ac:dyDescent="0.2">
      <c r="B243" s="5">
        <v>38511.598387722959</v>
      </c>
      <c r="C243" t="s">
        <v>0</v>
      </c>
      <c r="D243" t="s">
        <v>17</v>
      </c>
      <c r="E243" t="s">
        <v>25</v>
      </c>
      <c r="F243" t="s">
        <v>27</v>
      </c>
      <c r="G243">
        <v>120</v>
      </c>
      <c r="H243" s="2">
        <v>424.27</v>
      </c>
    </row>
    <row r="244" spans="2:8" x14ac:dyDescent="0.2">
      <c r="B244" s="5">
        <v>38514.841581975052</v>
      </c>
      <c r="C244" t="s">
        <v>3</v>
      </c>
      <c r="D244" t="s">
        <v>13</v>
      </c>
      <c r="E244" t="s">
        <v>25</v>
      </c>
      <c r="F244" t="s">
        <v>27</v>
      </c>
      <c r="G244">
        <v>35</v>
      </c>
      <c r="H244" s="2">
        <v>185.62</v>
      </c>
    </row>
    <row r="245" spans="2:8" x14ac:dyDescent="0.2">
      <c r="B245" s="5">
        <v>38515.674679576776</v>
      </c>
      <c r="C245" t="s">
        <v>37</v>
      </c>
      <c r="D245" t="s">
        <v>8</v>
      </c>
      <c r="E245" t="s">
        <v>25</v>
      </c>
      <c r="F245" t="s">
        <v>27</v>
      </c>
      <c r="G245">
        <v>300</v>
      </c>
      <c r="H245" s="2">
        <v>639.36</v>
      </c>
    </row>
    <row r="246" spans="2:8" x14ac:dyDescent="0.2">
      <c r="B246" s="5">
        <v>38520.400675806479</v>
      </c>
      <c r="C246" t="s">
        <v>0</v>
      </c>
      <c r="D246" t="s">
        <v>17</v>
      </c>
      <c r="E246" t="s">
        <v>25</v>
      </c>
      <c r="F246" t="s">
        <v>27</v>
      </c>
      <c r="G246">
        <v>295</v>
      </c>
      <c r="H246" s="2">
        <v>1453.51</v>
      </c>
    </row>
    <row r="247" spans="2:8" x14ac:dyDescent="0.2">
      <c r="B247" s="5">
        <v>38521.601112933538</v>
      </c>
      <c r="C247" t="s">
        <v>2</v>
      </c>
      <c r="D247" t="s">
        <v>22</v>
      </c>
      <c r="E247" t="s">
        <v>25</v>
      </c>
      <c r="F247" t="s">
        <v>27</v>
      </c>
      <c r="G247">
        <v>360</v>
      </c>
      <c r="H247" s="2">
        <v>705.03</v>
      </c>
    </row>
    <row r="248" spans="2:8" x14ac:dyDescent="0.2">
      <c r="B248" s="5">
        <v>38523.787206717177</v>
      </c>
      <c r="C248" t="s">
        <v>36</v>
      </c>
      <c r="D248" t="s">
        <v>10</v>
      </c>
      <c r="E248" t="s">
        <v>25</v>
      </c>
      <c r="F248" t="s">
        <v>27</v>
      </c>
      <c r="G248">
        <v>825</v>
      </c>
      <c r="H248" s="2">
        <v>3018.4</v>
      </c>
    </row>
    <row r="249" spans="2:8" x14ac:dyDescent="0.2">
      <c r="B249" s="5">
        <v>38525.055927564921</v>
      </c>
      <c r="C249" t="s">
        <v>4</v>
      </c>
      <c r="D249" t="s">
        <v>24</v>
      </c>
      <c r="E249" t="s">
        <v>25</v>
      </c>
      <c r="F249" t="s">
        <v>27</v>
      </c>
      <c r="G249">
        <v>950</v>
      </c>
      <c r="H249" s="2">
        <v>2064.66</v>
      </c>
    </row>
    <row r="250" spans="2:8" x14ac:dyDescent="0.2">
      <c r="B250" s="5">
        <v>38531.744024914849</v>
      </c>
      <c r="C250" t="s">
        <v>0</v>
      </c>
      <c r="D250" t="s">
        <v>13</v>
      </c>
      <c r="E250" t="s">
        <v>25</v>
      </c>
      <c r="F250" t="s">
        <v>27</v>
      </c>
      <c r="G250">
        <v>50</v>
      </c>
      <c r="H250" s="2">
        <v>57.54</v>
      </c>
    </row>
    <row r="251" spans="2:8" x14ac:dyDescent="0.2">
      <c r="B251" s="5">
        <v>38541.053042089916</v>
      </c>
      <c r="C251" t="s">
        <v>0</v>
      </c>
      <c r="D251" t="s">
        <v>19</v>
      </c>
      <c r="E251" t="s">
        <v>25</v>
      </c>
      <c r="F251" t="s">
        <v>27</v>
      </c>
      <c r="G251">
        <v>145</v>
      </c>
      <c r="H251" s="2">
        <v>718.78</v>
      </c>
    </row>
    <row r="252" spans="2:8" x14ac:dyDescent="0.2">
      <c r="B252" s="5">
        <v>38572.218413531737</v>
      </c>
      <c r="C252" t="s">
        <v>37</v>
      </c>
      <c r="D252" t="s">
        <v>18</v>
      </c>
      <c r="E252" t="s">
        <v>25</v>
      </c>
      <c r="F252" t="s">
        <v>27</v>
      </c>
      <c r="G252">
        <v>485</v>
      </c>
      <c r="H252" s="2">
        <v>925.56</v>
      </c>
    </row>
    <row r="253" spans="2:8" x14ac:dyDescent="0.2">
      <c r="B253" s="5">
        <v>38441.718210335959</v>
      </c>
      <c r="C253" t="s">
        <v>0</v>
      </c>
      <c r="D253" t="s">
        <v>21</v>
      </c>
      <c r="E253" t="s">
        <v>25</v>
      </c>
      <c r="F253" t="s">
        <v>38</v>
      </c>
      <c r="G253">
        <v>655</v>
      </c>
      <c r="H253" s="2">
        <v>2975.04</v>
      </c>
    </row>
    <row r="254" spans="2:8" x14ac:dyDescent="0.2">
      <c r="B254" s="5">
        <v>38452.064941210228</v>
      </c>
      <c r="C254" t="s">
        <v>36</v>
      </c>
      <c r="D254" t="s">
        <v>18</v>
      </c>
      <c r="E254" t="s">
        <v>25</v>
      </c>
      <c r="F254" t="s">
        <v>38</v>
      </c>
      <c r="G254">
        <v>505</v>
      </c>
      <c r="H254" s="2">
        <v>2460.75</v>
      </c>
    </row>
    <row r="255" spans="2:8" x14ac:dyDescent="0.2">
      <c r="B255" s="5">
        <v>38463.159340965103</v>
      </c>
      <c r="C255" t="s">
        <v>0</v>
      </c>
      <c r="D255" t="s">
        <v>13</v>
      </c>
      <c r="E255" t="s">
        <v>25</v>
      </c>
      <c r="F255" t="s">
        <v>38</v>
      </c>
      <c r="G255">
        <v>505</v>
      </c>
      <c r="H255" s="2">
        <v>1543.49</v>
      </c>
    </row>
    <row r="256" spans="2:8" x14ac:dyDescent="0.2">
      <c r="B256" s="5">
        <v>38478.260484089384</v>
      </c>
      <c r="C256" t="s">
        <v>1</v>
      </c>
      <c r="D256" t="s">
        <v>6</v>
      </c>
      <c r="E256" t="s">
        <v>25</v>
      </c>
      <c r="F256" t="s">
        <v>38</v>
      </c>
      <c r="G256">
        <v>340</v>
      </c>
      <c r="H256" s="2">
        <v>1609.33</v>
      </c>
    </row>
    <row r="257" spans="2:8" x14ac:dyDescent="0.2">
      <c r="B257" s="5">
        <v>38480.487740850192</v>
      </c>
      <c r="C257" t="s">
        <v>37</v>
      </c>
      <c r="D257" t="s">
        <v>13</v>
      </c>
      <c r="E257" t="s">
        <v>25</v>
      </c>
      <c r="F257" t="s">
        <v>38</v>
      </c>
      <c r="G257">
        <v>510</v>
      </c>
      <c r="H257" s="2">
        <v>1344.23</v>
      </c>
    </row>
    <row r="258" spans="2:8" x14ac:dyDescent="0.2">
      <c r="B258" s="5">
        <v>38486.483795647706</v>
      </c>
      <c r="C258" t="s">
        <v>37</v>
      </c>
      <c r="D258" t="s">
        <v>18</v>
      </c>
      <c r="E258" t="s">
        <v>25</v>
      </c>
      <c r="F258" t="s">
        <v>38</v>
      </c>
      <c r="G258">
        <v>370</v>
      </c>
      <c r="H258" s="2">
        <v>2651.55</v>
      </c>
    </row>
    <row r="259" spans="2:8" x14ac:dyDescent="0.2">
      <c r="B259" s="5">
        <v>38435.690081368361</v>
      </c>
      <c r="C259" t="s">
        <v>1</v>
      </c>
      <c r="D259" t="s">
        <v>5</v>
      </c>
      <c r="E259" t="s">
        <v>29</v>
      </c>
      <c r="F259" t="s">
        <v>39</v>
      </c>
      <c r="G259">
        <v>320</v>
      </c>
      <c r="H259" s="2">
        <v>342.55</v>
      </c>
    </row>
    <row r="260" spans="2:8" x14ac:dyDescent="0.2">
      <c r="B260" s="5">
        <v>38454.479317610247</v>
      </c>
      <c r="C260" t="s">
        <v>1</v>
      </c>
      <c r="D260" t="s">
        <v>13</v>
      </c>
      <c r="E260" t="s">
        <v>29</v>
      </c>
      <c r="F260" t="s">
        <v>39</v>
      </c>
      <c r="G260">
        <v>45</v>
      </c>
      <c r="H260" s="2">
        <v>51.01</v>
      </c>
    </row>
    <row r="261" spans="2:8" x14ac:dyDescent="0.2">
      <c r="B261" s="5">
        <v>38461.238211467942</v>
      </c>
      <c r="C261" t="s">
        <v>0</v>
      </c>
      <c r="D261" t="s">
        <v>13</v>
      </c>
      <c r="E261" t="s">
        <v>29</v>
      </c>
      <c r="F261" t="s">
        <v>39</v>
      </c>
      <c r="G261">
        <v>370</v>
      </c>
      <c r="H261" s="2">
        <v>366.12</v>
      </c>
    </row>
    <row r="262" spans="2:8" x14ac:dyDescent="0.2">
      <c r="B262" s="5">
        <v>38497.47777404228</v>
      </c>
      <c r="C262" t="s">
        <v>1</v>
      </c>
      <c r="D262" t="s">
        <v>17</v>
      </c>
      <c r="E262" t="s">
        <v>29</v>
      </c>
      <c r="F262" t="s">
        <v>39</v>
      </c>
      <c r="G262">
        <v>855</v>
      </c>
      <c r="H262" s="2">
        <v>970.07</v>
      </c>
    </row>
    <row r="263" spans="2:8" x14ac:dyDescent="0.2">
      <c r="B263" s="5">
        <v>38500.926577331644</v>
      </c>
      <c r="C263" t="s">
        <v>0</v>
      </c>
      <c r="D263" t="s">
        <v>15</v>
      </c>
      <c r="E263" t="s">
        <v>29</v>
      </c>
      <c r="F263" t="s">
        <v>39</v>
      </c>
      <c r="G263">
        <v>280</v>
      </c>
      <c r="H263" s="2">
        <v>921.53</v>
      </c>
    </row>
    <row r="264" spans="2:8" x14ac:dyDescent="0.2">
      <c r="B264" s="5">
        <v>38504.654792510148</v>
      </c>
      <c r="C264" t="s">
        <v>1</v>
      </c>
      <c r="D264" t="s">
        <v>7</v>
      </c>
      <c r="E264" t="s">
        <v>29</v>
      </c>
      <c r="F264" t="s">
        <v>39</v>
      </c>
      <c r="G264">
        <v>550</v>
      </c>
      <c r="H264" s="2">
        <v>3934.16</v>
      </c>
    </row>
    <row r="265" spans="2:8" x14ac:dyDescent="0.2">
      <c r="B265" s="5">
        <v>38510.246717088863</v>
      </c>
      <c r="C265" t="s">
        <v>2</v>
      </c>
      <c r="D265" t="s">
        <v>19</v>
      </c>
      <c r="E265" t="s">
        <v>29</v>
      </c>
      <c r="F265" t="s">
        <v>39</v>
      </c>
      <c r="G265">
        <v>845</v>
      </c>
      <c r="H265" s="2">
        <v>6116.21</v>
      </c>
    </row>
    <row r="266" spans="2:8" x14ac:dyDescent="0.2">
      <c r="B266" s="5">
        <v>38525.584265422825</v>
      </c>
      <c r="C266" t="s">
        <v>37</v>
      </c>
      <c r="D266" t="s">
        <v>8</v>
      </c>
      <c r="E266" t="s">
        <v>29</v>
      </c>
      <c r="F266" t="s">
        <v>39</v>
      </c>
      <c r="G266">
        <v>725</v>
      </c>
      <c r="H266" s="2">
        <v>2986.38</v>
      </c>
    </row>
    <row r="267" spans="2:8" x14ac:dyDescent="0.2">
      <c r="B267" s="5">
        <v>38525.6728969838</v>
      </c>
      <c r="C267" t="s">
        <v>3</v>
      </c>
      <c r="D267" t="s">
        <v>24</v>
      </c>
      <c r="E267" t="s">
        <v>29</v>
      </c>
      <c r="F267" t="s">
        <v>39</v>
      </c>
      <c r="G267">
        <v>970</v>
      </c>
      <c r="H267" s="2">
        <v>1156.69</v>
      </c>
    </row>
    <row r="268" spans="2:8" x14ac:dyDescent="0.2">
      <c r="B268" s="5">
        <v>38526.415078981598</v>
      </c>
      <c r="C268" t="s">
        <v>4</v>
      </c>
      <c r="D268" t="s">
        <v>24</v>
      </c>
      <c r="E268" t="s">
        <v>29</v>
      </c>
      <c r="F268" t="s">
        <v>39</v>
      </c>
      <c r="G268">
        <v>500</v>
      </c>
      <c r="H268" s="2">
        <v>502.64</v>
      </c>
    </row>
    <row r="269" spans="2:8" x14ac:dyDescent="0.2">
      <c r="B269" s="5">
        <v>38551.74928573826</v>
      </c>
      <c r="C269" t="s">
        <v>36</v>
      </c>
      <c r="D269" t="s">
        <v>16</v>
      </c>
      <c r="E269" t="s">
        <v>29</v>
      </c>
      <c r="F269" t="s">
        <v>39</v>
      </c>
      <c r="G269">
        <v>310</v>
      </c>
      <c r="H269" s="2">
        <v>1006.79</v>
      </c>
    </row>
    <row r="270" spans="2:8" x14ac:dyDescent="0.2">
      <c r="B270" s="5">
        <v>38551.894864938062</v>
      </c>
      <c r="C270" t="s">
        <v>4</v>
      </c>
      <c r="D270" t="s">
        <v>13</v>
      </c>
      <c r="E270" t="s">
        <v>29</v>
      </c>
      <c r="F270" t="s">
        <v>39</v>
      </c>
      <c r="G270">
        <v>935</v>
      </c>
      <c r="H270" s="2">
        <v>888.58</v>
      </c>
    </row>
    <row r="271" spans="2:8" x14ac:dyDescent="0.2">
      <c r="B271" s="5">
        <v>38562.503896445945</v>
      </c>
      <c r="C271" t="s">
        <v>4</v>
      </c>
      <c r="D271" t="s">
        <v>10</v>
      </c>
      <c r="E271" t="s">
        <v>29</v>
      </c>
      <c r="F271" t="s">
        <v>39</v>
      </c>
      <c r="G271">
        <v>985</v>
      </c>
      <c r="H271" s="2">
        <v>1107.24</v>
      </c>
    </row>
    <row r="272" spans="2:8" x14ac:dyDescent="0.2">
      <c r="B272" s="5">
        <v>38575.277385830566</v>
      </c>
      <c r="C272" t="s">
        <v>0</v>
      </c>
      <c r="D272" t="s">
        <v>6</v>
      </c>
      <c r="E272" t="s">
        <v>29</v>
      </c>
      <c r="F272" t="s">
        <v>39</v>
      </c>
      <c r="G272">
        <v>650</v>
      </c>
      <c r="H272" s="2">
        <v>2127.44</v>
      </c>
    </row>
    <row r="273" spans="2:8" x14ac:dyDescent="0.2">
      <c r="B273" s="5">
        <v>38581.669427887624</v>
      </c>
      <c r="C273" t="s">
        <v>0</v>
      </c>
      <c r="D273" t="s">
        <v>13</v>
      </c>
      <c r="E273" t="s">
        <v>29</v>
      </c>
      <c r="F273" t="s">
        <v>39</v>
      </c>
      <c r="G273">
        <v>405</v>
      </c>
      <c r="H273" s="2">
        <v>1104.54</v>
      </c>
    </row>
    <row r="274" spans="2:8" x14ac:dyDescent="0.2">
      <c r="B274" s="5">
        <v>38589.025782020879</v>
      </c>
      <c r="C274" t="s">
        <v>0</v>
      </c>
      <c r="D274" t="s">
        <v>22</v>
      </c>
      <c r="E274" t="s">
        <v>29</v>
      </c>
      <c r="F274" t="s">
        <v>39</v>
      </c>
      <c r="G274">
        <v>165</v>
      </c>
      <c r="H274" s="2">
        <v>192.16</v>
      </c>
    </row>
    <row r="275" spans="2:8" x14ac:dyDescent="0.2">
      <c r="B275" s="5">
        <v>38457.642464196288</v>
      </c>
      <c r="C275" t="s">
        <v>2</v>
      </c>
      <c r="D275" t="s">
        <v>6</v>
      </c>
      <c r="E275" t="s">
        <v>29</v>
      </c>
      <c r="F275" t="s">
        <v>43</v>
      </c>
      <c r="G275">
        <v>420</v>
      </c>
      <c r="H275" s="2">
        <v>2203.9899999999998</v>
      </c>
    </row>
    <row r="276" spans="2:8" x14ac:dyDescent="0.2">
      <c r="B276" s="5">
        <v>38473.126848843436</v>
      </c>
      <c r="C276" t="s">
        <v>36</v>
      </c>
      <c r="D276" t="s">
        <v>13</v>
      </c>
      <c r="E276" t="s">
        <v>29</v>
      </c>
      <c r="F276" t="s">
        <v>43</v>
      </c>
      <c r="G276">
        <v>675</v>
      </c>
      <c r="H276" s="2">
        <v>3922.58</v>
      </c>
    </row>
    <row r="277" spans="2:8" x14ac:dyDescent="0.2">
      <c r="B277" s="5">
        <v>38475.798490449939</v>
      </c>
      <c r="C277" t="s">
        <v>2</v>
      </c>
      <c r="D277" t="s">
        <v>9</v>
      </c>
      <c r="E277" t="s">
        <v>29</v>
      </c>
      <c r="F277" t="s">
        <v>43</v>
      </c>
      <c r="G277">
        <v>730</v>
      </c>
      <c r="H277" s="2">
        <v>1491.18</v>
      </c>
    </row>
    <row r="278" spans="2:8" x14ac:dyDescent="0.2">
      <c r="B278" s="5">
        <v>38478.279575326887</v>
      </c>
      <c r="C278" t="s">
        <v>1</v>
      </c>
      <c r="D278" t="s">
        <v>9</v>
      </c>
      <c r="E278" t="s">
        <v>29</v>
      </c>
      <c r="F278" t="s">
        <v>43</v>
      </c>
      <c r="G278">
        <v>240</v>
      </c>
      <c r="H278" s="2">
        <v>1420.1</v>
      </c>
    </row>
    <row r="279" spans="2:8" x14ac:dyDescent="0.2">
      <c r="B279" s="5">
        <v>38489.548997706501</v>
      </c>
      <c r="C279" t="s">
        <v>3</v>
      </c>
      <c r="D279" t="s">
        <v>20</v>
      </c>
      <c r="E279" t="s">
        <v>29</v>
      </c>
      <c r="F279" t="s">
        <v>43</v>
      </c>
      <c r="G279">
        <v>445</v>
      </c>
      <c r="H279" s="2">
        <v>2433.7399999999998</v>
      </c>
    </row>
    <row r="280" spans="2:8" x14ac:dyDescent="0.2">
      <c r="B280" s="5">
        <v>38495.391818097865</v>
      </c>
      <c r="C280" t="s">
        <v>37</v>
      </c>
      <c r="D280" t="s">
        <v>7</v>
      </c>
      <c r="E280" t="s">
        <v>29</v>
      </c>
      <c r="F280" t="s">
        <v>43</v>
      </c>
      <c r="G280">
        <v>705</v>
      </c>
      <c r="H280" s="2">
        <v>3992.66</v>
      </c>
    </row>
    <row r="281" spans="2:8" x14ac:dyDescent="0.2">
      <c r="B281" s="5">
        <v>38502.87906490692</v>
      </c>
      <c r="C281" t="s">
        <v>36</v>
      </c>
      <c r="D281" t="s">
        <v>9</v>
      </c>
      <c r="E281" t="s">
        <v>29</v>
      </c>
      <c r="F281" t="s">
        <v>43</v>
      </c>
      <c r="G281">
        <v>845</v>
      </c>
      <c r="H281" s="2">
        <v>1821.19</v>
      </c>
    </row>
    <row r="282" spans="2:8" x14ac:dyDescent="0.2">
      <c r="B282" s="5">
        <v>38503.003864335449</v>
      </c>
      <c r="C282" t="s">
        <v>1</v>
      </c>
      <c r="D282" t="s">
        <v>10</v>
      </c>
      <c r="E282" t="s">
        <v>29</v>
      </c>
      <c r="F282" t="s">
        <v>43</v>
      </c>
      <c r="G282">
        <v>330</v>
      </c>
      <c r="H282" s="2">
        <v>1785.88</v>
      </c>
    </row>
    <row r="283" spans="2:8" x14ac:dyDescent="0.2">
      <c r="B283" s="5">
        <v>38508.094898498486</v>
      </c>
      <c r="C283" t="s">
        <v>36</v>
      </c>
      <c r="D283" t="s">
        <v>13</v>
      </c>
      <c r="E283" t="s">
        <v>29</v>
      </c>
      <c r="F283" t="s">
        <v>43</v>
      </c>
      <c r="G283">
        <v>565</v>
      </c>
      <c r="H283" s="2">
        <v>2833.99</v>
      </c>
    </row>
    <row r="284" spans="2:8" x14ac:dyDescent="0.2">
      <c r="B284" s="5">
        <v>38510.082057853186</v>
      </c>
      <c r="C284" t="s">
        <v>4</v>
      </c>
      <c r="D284" t="s">
        <v>9</v>
      </c>
      <c r="E284" t="s">
        <v>29</v>
      </c>
      <c r="F284" t="s">
        <v>43</v>
      </c>
      <c r="G284">
        <v>315</v>
      </c>
      <c r="H284" s="2">
        <v>691.57</v>
      </c>
    </row>
    <row r="285" spans="2:8" x14ac:dyDescent="0.2">
      <c r="B285" s="5">
        <v>38553.49560331348</v>
      </c>
      <c r="C285" t="s">
        <v>4</v>
      </c>
      <c r="D285" t="s">
        <v>15</v>
      </c>
      <c r="E285" t="s">
        <v>29</v>
      </c>
      <c r="F285" t="s">
        <v>43</v>
      </c>
      <c r="G285">
        <v>5</v>
      </c>
      <c r="H285" s="2">
        <v>25.64</v>
      </c>
    </row>
    <row r="286" spans="2:8" x14ac:dyDescent="0.2">
      <c r="B286" s="5">
        <v>38423.897439834007</v>
      </c>
      <c r="C286" t="s">
        <v>1</v>
      </c>
      <c r="D286" t="s">
        <v>24</v>
      </c>
      <c r="E286" t="s">
        <v>29</v>
      </c>
      <c r="F286" t="s">
        <v>40</v>
      </c>
      <c r="G286">
        <v>110</v>
      </c>
      <c r="H286" s="2">
        <v>259.08</v>
      </c>
    </row>
    <row r="287" spans="2:8" x14ac:dyDescent="0.2">
      <c r="B287" s="5">
        <v>38448.469979821479</v>
      </c>
      <c r="C287" t="s">
        <v>36</v>
      </c>
      <c r="D287" t="s">
        <v>9</v>
      </c>
      <c r="E287" t="s">
        <v>29</v>
      </c>
      <c r="F287" t="s">
        <v>40</v>
      </c>
      <c r="G287">
        <v>915</v>
      </c>
      <c r="H287" s="2">
        <v>1724.92</v>
      </c>
    </row>
    <row r="288" spans="2:8" x14ac:dyDescent="0.2">
      <c r="B288" s="5">
        <v>38459.836643890783</v>
      </c>
      <c r="C288" t="s">
        <v>1</v>
      </c>
      <c r="D288" t="s">
        <v>9</v>
      </c>
      <c r="E288" t="s">
        <v>29</v>
      </c>
      <c r="F288" t="s">
        <v>40</v>
      </c>
      <c r="G288">
        <v>895</v>
      </c>
      <c r="H288" s="2">
        <v>1599.63</v>
      </c>
    </row>
    <row r="289" spans="2:8" x14ac:dyDescent="0.2">
      <c r="B289" s="5">
        <v>38463.319813250149</v>
      </c>
      <c r="C289" t="s">
        <v>0</v>
      </c>
      <c r="D289" t="s">
        <v>9</v>
      </c>
      <c r="E289" t="s">
        <v>29</v>
      </c>
      <c r="F289" t="s">
        <v>40</v>
      </c>
      <c r="G289">
        <v>700</v>
      </c>
      <c r="H289" s="2">
        <v>1046.58</v>
      </c>
    </row>
    <row r="290" spans="2:8" x14ac:dyDescent="0.2">
      <c r="B290" s="5">
        <v>38473.174839441039</v>
      </c>
      <c r="C290" t="s">
        <v>2</v>
      </c>
      <c r="D290" t="s">
        <v>9</v>
      </c>
      <c r="E290" t="s">
        <v>29</v>
      </c>
      <c r="F290" t="s">
        <v>40</v>
      </c>
      <c r="G290">
        <v>500</v>
      </c>
      <c r="H290" s="2">
        <v>398.6</v>
      </c>
    </row>
    <row r="291" spans="2:8" x14ac:dyDescent="0.2">
      <c r="B291" s="5">
        <v>38475.329713452709</v>
      </c>
      <c r="C291" t="s">
        <v>37</v>
      </c>
      <c r="D291" t="s">
        <v>6</v>
      </c>
      <c r="E291" t="s">
        <v>29</v>
      </c>
      <c r="F291" t="s">
        <v>40</v>
      </c>
      <c r="G291">
        <v>410</v>
      </c>
      <c r="H291" s="2">
        <v>836.73</v>
      </c>
    </row>
    <row r="292" spans="2:8" x14ac:dyDescent="0.2">
      <c r="B292" s="5">
        <v>38485.761781515961</v>
      </c>
      <c r="C292" t="s">
        <v>1</v>
      </c>
      <c r="D292" t="s">
        <v>13</v>
      </c>
      <c r="E292" t="s">
        <v>29</v>
      </c>
      <c r="F292" t="s">
        <v>40</v>
      </c>
      <c r="G292">
        <v>415</v>
      </c>
      <c r="H292" s="2">
        <v>866.84</v>
      </c>
    </row>
    <row r="293" spans="2:8" x14ac:dyDescent="0.2">
      <c r="B293" s="5">
        <v>38496.64478718835</v>
      </c>
      <c r="C293" t="s">
        <v>37</v>
      </c>
      <c r="D293" t="s">
        <v>20</v>
      </c>
      <c r="E293" t="s">
        <v>29</v>
      </c>
      <c r="F293" t="s">
        <v>40</v>
      </c>
      <c r="G293">
        <v>695</v>
      </c>
      <c r="H293" s="2">
        <v>1506.57</v>
      </c>
    </row>
    <row r="294" spans="2:8" x14ac:dyDescent="0.2">
      <c r="B294" s="5">
        <v>38497.045827023547</v>
      </c>
      <c r="C294" t="s">
        <v>1</v>
      </c>
      <c r="D294" t="s">
        <v>13</v>
      </c>
      <c r="E294" t="s">
        <v>29</v>
      </c>
      <c r="F294" t="s">
        <v>40</v>
      </c>
      <c r="G294">
        <v>115</v>
      </c>
      <c r="H294" s="2">
        <v>243.94</v>
      </c>
    </row>
    <row r="295" spans="2:8" x14ac:dyDescent="0.2">
      <c r="B295" s="5">
        <v>38511.605510426241</v>
      </c>
      <c r="C295" t="s">
        <v>37</v>
      </c>
      <c r="D295" t="s">
        <v>15</v>
      </c>
      <c r="E295" t="s">
        <v>29</v>
      </c>
      <c r="F295" t="s">
        <v>40</v>
      </c>
      <c r="G295">
        <v>995</v>
      </c>
      <c r="H295" s="2">
        <v>2089.6999999999998</v>
      </c>
    </row>
    <row r="296" spans="2:8" x14ac:dyDescent="0.2">
      <c r="B296" s="5">
        <v>38521.414503203145</v>
      </c>
      <c r="C296" t="s">
        <v>0</v>
      </c>
      <c r="D296" t="s">
        <v>9</v>
      </c>
      <c r="E296" t="s">
        <v>29</v>
      </c>
      <c r="F296" t="s">
        <v>40</v>
      </c>
      <c r="G296">
        <v>95</v>
      </c>
      <c r="H296" s="2">
        <v>183.38</v>
      </c>
    </row>
    <row r="297" spans="2:8" x14ac:dyDescent="0.2">
      <c r="B297" s="5">
        <v>38537.372858053634</v>
      </c>
      <c r="C297" t="s">
        <v>4</v>
      </c>
      <c r="D297" t="s">
        <v>11</v>
      </c>
      <c r="E297" t="s">
        <v>29</v>
      </c>
      <c r="F297" t="s">
        <v>40</v>
      </c>
      <c r="G297">
        <v>495</v>
      </c>
      <c r="H297" s="2">
        <v>998.71</v>
      </c>
    </row>
    <row r="298" spans="2:8" x14ac:dyDescent="0.2">
      <c r="B298" s="5">
        <v>38541.565149510527</v>
      </c>
      <c r="C298" t="s">
        <v>37</v>
      </c>
      <c r="D298" t="s">
        <v>11</v>
      </c>
      <c r="E298" t="s">
        <v>29</v>
      </c>
      <c r="F298" t="s">
        <v>40</v>
      </c>
      <c r="G298">
        <v>770</v>
      </c>
      <c r="H298" s="2">
        <v>1826.88</v>
      </c>
    </row>
    <row r="299" spans="2:8" x14ac:dyDescent="0.2">
      <c r="B299" s="5">
        <v>38416.753308547428</v>
      </c>
      <c r="C299" t="s">
        <v>2</v>
      </c>
      <c r="D299" t="s">
        <v>12</v>
      </c>
      <c r="E299" t="s">
        <v>29</v>
      </c>
      <c r="F299" t="s">
        <v>28</v>
      </c>
      <c r="G299">
        <v>530</v>
      </c>
      <c r="H299" s="2">
        <v>2410.92</v>
      </c>
    </row>
    <row r="300" spans="2:8" x14ac:dyDescent="0.2">
      <c r="B300" s="5">
        <v>38418.260564735254</v>
      </c>
      <c r="C300" t="s">
        <v>3</v>
      </c>
      <c r="D300" t="s">
        <v>15</v>
      </c>
      <c r="E300" t="s">
        <v>29</v>
      </c>
      <c r="F300" t="s">
        <v>28</v>
      </c>
      <c r="G300">
        <v>190</v>
      </c>
      <c r="H300" s="2">
        <v>825.48</v>
      </c>
    </row>
    <row r="301" spans="2:8" x14ac:dyDescent="0.2">
      <c r="B301" s="5">
        <v>38427.558354236819</v>
      </c>
      <c r="C301" t="s">
        <v>37</v>
      </c>
      <c r="D301" t="s">
        <v>19</v>
      </c>
      <c r="E301" t="s">
        <v>29</v>
      </c>
      <c r="F301" t="s">
        <v>28</v>
      </c>
      <c r="G301">
        <v>985</v>
      </c>
      <c r="H301" s="2">
        <v>1519.36</v>
      </c>
    </row>
    <row r="302" spans="2:8" x14ac:dyDescent="0.2">
      <c r="B302" s="5">
        <v>38451.627441863886</v>
      </c>
      <c r="C302" t="s">
        <v>0</v>
      </c>
      <c r="D302" t="s">
        <v>10</v>
      </c>
      <c r="E302" t="s">
        <v>29</v>
      </c>
      <c r="F302" t="s">
        <v>28</v>
      </c>
      <c r="G302">
        <v>60</v>
      </c>
      <c r="H302" s="2">
        <v>264.69</v>
      </c>
    </row>
    <row r="303" spans="2:8" x14ac:dyDescent="0.2">
      <c r="B303" s="5">
        <v>38461.045290701331</v>
      </c>
      <c r="C303" t="s">
        <v>1</v>
      </c>
      <c r="D303" t="s">
        <v>22</v>
      </c>
      <c r="E303" t="s">
        <v>29</v>
      </c>
      <c r="F303" t="s">
        <v>28</v>
      </c>
      <c r="G303">
        <v>875</v>
      </c>
      <c r="H303" s="2">
        <v>3652.67</v>
      </c>
    </row>
    <row r="304" spans="2:8" x14ac:dyDescent="0.2">
      <c r="B304" s="5">
        <v>38463.835817390674</v>
      </c>
      <c r="C304" t="s">
        <v>37</v>
      </c>
      <c r="D304" t="s">
        <v>7</v>
      </c>
      <c r="E304" t="s">
        <v>29</v>
      </c>
      <c r="F304" t="s">
        <v>28</v>
      </c>
      <c r="G304">
        <v>155</v>
      </c>
      <c r="H304" s="2">
        <v>738.05</v>
      </c>
    </row>
    <row r="305" spans="2:8" x14ac:dyDescent="0.2">
      <c r="B305" s="5">
        <v>38474.489130800088</v>
      </c>
      <c r="C305" t="s">
        <v>37</v>
      </c>
      <c r="D305" t="s">
        <v>24</v>
      </c>
      <c r="E305" t="s">
        <v>29</v>
      </c>
      <c r="F305" t="s">
        <v>28</v>
      </c>
      <c r="G305">
        <v>460</v>
      </c>
      <c r="H305" s="2">
        <v>2121.15</v>
      </c>
    </row>
    <row r="306" spans="2:8" x14ac:dyDescent="0.2">
      <c r="B306" s="5">
        <v>38475.682866602416</v>
      </c>
      <c r="C306" t="s">
        <v>2</v>
      </c>
      <c r="D306" t="s">
        <v>16</v>
      </c>
      <c r="E306" t="s">
        <v>29</v>
      </c>
      <c r="F306" t="s">
        <v>28</v>
      </c>
      <c r="G306">
        <v>165</v>
      </c>
      <c r="H306" s="2">
        <v>785.1</v>
      </c>
    </row>
    <row r="307" spans="2:8" x14ac:dyDescent="0.2">
      <c r="B307" s="5">
        <v>38476.262434812968</v>
      </c>
      <c r="C307" t="s">
        <v>37</v>
      </c>
      <c r="D307" t="s">
        <v>8</v>
      </c>
      <c r="E307" t="s">
        <v>29</v>
      </c>
      <c r="F307" t="s">
        <v>28</v>
      </c>
      <c r="G307">
        <v>895</v>
      </c>
      <c r="H307" s="2">
        <v>4022.8</v>
      </c>
    </row>
    <row r="308" spans="2:8" x14ac:dyDescent="0.2">
      <c r="B308" s="5">
        <v>38480.888645703089</v>
      </c>
      <c r="C308" t="s">
        <v>36</v>
      </c>
      <c r="D308" t="s">
        <v>19</v>
      </c>
      <c r="E308" t="s">
        <v>29</v>
      </c>
      <c r="F308" t="s">
        <v>28</v>
      </c>
      <c r="G308">
        <v>480</v>
      </c>
      <c r="H308" s="2">
        <v>1222.76</v>
      </c>
    </row>
    <row r="309" spans="2:8" x14ac:dyDescent="0.2">
      <c r="B309" s="5">
        <v>38488.201433877191</v>
      </c>
      <c r="C309" t="s">
        <v>36</v>
      </c>
      <c r="D309" t="s">
        <v>19</v>
      </c>
      <c r="E309" t="s">
        <v>29</v>
      </c>
      <c r="F309" t="s">
        <v>28</v>
      </c>
      <c r="G309">
        <v>295</v>
      </c>
      <c r="H309" s="2">
        <v>1157.57</v>
      </c>
    </row>
    <row r="310" spans="2:8" x14ac:dyDescent="0.2">
      <c r="B310" s="5">
        <v>38491.028407450249</v>
      </c>
      <c r="C310" t="s">
        <v>37</v>
      </c>
      <c r="D310" t="s">
        <v>19</v>
      </c>
      <c r="E310" t="s">
        <v>29</v>
      </c>
      <c r="F310" t="s">
        <v>28</v>
      </c>
      <c r="G310">
        <v>285</v>
      </c>
      <c r="H310" s="2">
        <v>1141.47</v>
      </c>
    </row>
    <row r="311" spans="2:8" x14ac:dyDescent="0.2">
      <c r="B311" s="5">
        <v>38501.347451887261</v>
      </c>
      <c r="C311" t="s">
        <v>1</v>
      </c>
      <c r="D311" t="s">
        <v>13</v>
      </c>
      <c r="E311" t="s">
        <v>29</v>
      </c>
      <c r="F311" t="s">
        <v>28</v>
      </c>
      <c r="G311">
        <v>310</v>
      </c>
      <c r="H311" s="2">
        <v>779.41</v>
      </c>
    </row>
    <row r="312" spans="2:8" x14ac:dyDescent="0.2">
      <c r="B312" s="5">
        <v>38549.186049781259</v>
      </c>
      <c r="C312" t="s">
        <v>0</v>
      </c>
      <c r="D312" t="s">
        <v>19</v>
      </c>
      <c r="E312" t="s">
        <v>29</v>
      </c>
      <c r="F312" t="s">
        <v>28</v>
      </c>
      <c r="G312">
        <v>890</v>
      </c>
      <c r="H312" s="2">
        <v>3615.2</v>
      </c>
    </row>
    <row r="313" spans="2:8" x14ac:dyDescent="0.2">
      <c r="B313" s="5">
        <v>38431.436088493734</v>
      </c>
      <c r="C313" t="s">
        <v>36</v>
      </c>
      <c r="D313" t="s">
        <v>5</v>
      </c>
      <c r="E313" t="s">
        <v>29</v>
      </c>
      <c r="F313" t="s">
        <v>41</v>
      </c>
      <c r="G313">
        <v>625</v>
      </c>
      <c r="H313" s="2">
        <v>1952.51</v>
      </c>
    </row>
    <row r="314" spans="2:8" x14ac:dyDescent="0.2">
      <c r="B314" s="5">
        <v>38444.149464252914</v>
      </c>
      <c r="C314" t="s">
        <v>2</v>
      </c>
      <c r="D314" t="s">
        <v>5</v>
      </c>
      <c r="E314" t="s">
        <v>29</v>
      </c>
      <c r="F314" t="s">
        <v>41</v>
      </c>
      <c r="G314">
        <v>610</v>
      </c>
      <c r="H314" s="2">
        <v>1959.33</v>
      </c>
    </row>
    <row r="315" spans="2:8" x14ac:dyDescent="0.2">
      <c r="B315" s="5">
        <v>38447.342853423346</v>
      </c>
      <c r="C315" t="s">
        <v>37</v>
      </c>
      <c r="D315" t="s">
        <v>13</v>
      </c>
      <c r="E315" t="s">
        <v>29</v>
      </c>
      <c r="F315" t="s">
        <v>41</v>
      </c>
      <c r="G315">
        <v>465</v>
      </c>
      <c r="H315" s="2">
        <v>1561.96</v>
      </c>
    </row>
    <row r="316" spans="2:8" x14ac:dyDescent="0.2">
      <c r="B316" s="5">
        <v>38455.849240293079</v>
      </c>
      <c r="C316" t="s">
        <v>0</v>
      </c>
      <c r="D316" t="s">
        <v>13</v>
      </c>
      <c r="E316" t="s">
        <v>29</v>
      </c>
      <c r="F316" t="s">
        <v>41</v>
      </c>
      <c r="G316">
        <v>300</v>
      </c>
      <c r="H316" s="2">
        <v>914.82</v>
      </c>
    </row>
    <row r="317" spans="2:8" x14ac:dyDescent="0.2">
      <c r="B317" s="5">
        <v>38467.266667137825</v>
      </c>
      <c r="C317" t="s">
        <v>0</v>
      </c>
      <c r="D317" t="s">
        <v>9</v>
      </c>
      <c r="E317" t="s">
        <v>29</v>
      </c>
      <c r="F317" t="s">
        <v>41</v>
      </c>
      <c r="G317">
        <v>625</v>
      </c>
      <c r="H317" s="2">
        <v>1360.34</v>
      </c>
    </row>
    <row r="318" spans="2:8" x14ac:dyDescent="0.2">
      <c r="B318" s="5">
        <v>38481.218484856006</v>
      </c>
      <c r="C318" t="s">
        <v>3</v>
      </c>
      <c r="D318" t="s">
        <v>5</v>
      </c>
      <c r="E318" t="s">
        <v>29</v>
      </c>
      <c r="F318" t="s">
        <v>41</v>
      </c>
      <c r="G318">
        <v>860</v>
      </c>
      <c r="H318" s="2">
        <v>2613.4499999999998</v>
      </c>
    </row>
    <row r="319" spans="2:8" x14ac:dyDescent="0.2">
      <c r="B319" s="5">
        <v>38492.134086842547</v>
      </c>
      <c r="C319" t="s">
        <v>3</v>
      </c>
      <c r="D319" t="s">
        <v>14</v>
      </c>
      <c r="E319" t="s">
        <v>29</v>
      </c>
      <c r="F319" t="s">
        <v>41</v>
      </c>
      <c r="G319">
        <v>150</v>
      </c>
      <c r="H319" s="2">
        <v>491.44</v>
      </c>
    </row>
    <row r="320" spans="2:8" x14ac:dyDescent="0.2">
      <c r="B320" s="5">
        <v>38442.540137306016</v>
      </c>
      <c r="C320" t="s">
        <v>1</v>
      </c>
      <c r="D320" t="s">
        <v>20</v>
      </c>
      <c r="E320" t="s">
        <v>29</v>
      </c>
      <c r="F320" t="s">
        <v>27</v>
      </c>
      <c r="G320">
        <v>925</v>
      </c>
      <c r="H320" s="2">
        <v>2802.16</v>
      </c>
    </row>
    <row r="321" spans="2:8" x14ac:dyDescent="0.2">
      <c r="B321" s="5">
        <v>38452.404601454102</v>
      </c>
      <c r="C321" t="s">
        <v>37</v>
      </c>
      <c r="D321" t="s">
        <v>8</v>
      </c>
      <c r="E321" t="s">
        <v>29</v>
      </c>
      <c r="F321" t="s">
        <v>27</v>
      </c>
      <c r="G321">
        <v>850</v>
      </c>
      <c r="H321" s="2">
        <v>2893.98</v>
      </c>
    </row>
    <row r="322" spans="2:8" x14ac:dyDescent="0.2">
      <c r="B322" s="5">
        <v>38457.813629117758</v>
      </c>
      <c r="C322" t="s">
        <v>3</v>
      </c>
      <c r="D322" t="s">
        <v>11</v>
      </c>
      <c r="E322" t="s">
        <v>29</v>
      </c>
      <c r="F322" t="s">
        <v>27</v>
      </c>
      <c r="G322">
        <v>945</v>
      </c>
      <c r="H322" s="2">
        <v>3345.59</v>
      </c>
    </row>
    <row r="323" spans="2:8" x14ac:dyDescent="0.2">
      <c r="B323" s="5">
        <v>38484.512074015365</v>
      </c>
      <c r="C323" t="s">
        <v>2</v>
      </c>
      <c r="D323" t="s">
        <v>8</v>
      </c>
      <c r="E323" t="s">
        <v>29</v>
      </c>
      <c r="F323" t="s">
        <v>27</v>
      </c>
      <c r="G323">
        <v>745</v>
      </c>
      <c r="H323" s="2">
        <v>2650.27</v>
      </c>
    </row>
    <row r="324" spans="2:8" x14ac:dyDescent="0.2">
      <c r="B324" s="5">
        <v>38486.667409734633</v>
      </c>
      <c r="C324" t="s">
        <v>2</v>
      </c>
      <c r="D324" t="s">
        <v>17</v>
      </c>
      <c r="E324" t="s">
        <v>29</v>
      </c>
      <c r="F324" t="s">
        <v>27</v>
      </c>
      <c r="G324">
        <v>895</v>
      </c>
      <c r="H324" s="2">
        <v>3156.34</v>
      </c>
    </row>
    <row r="325" spans="2:8" x14ac:dyDescent="0.2">
      <c r="B325" s="5">
        <v>38499.125785491044</v>
      </c>
      <c r="C325" t="s">
        <v>37</v>
      </c>
      <c r="D325" t="s">
        <v>10</v>
      </c>
      <c r="E325" t="s">
        <v>29</v>
      </c>
      <c r="F325" t="s">
        <v>27</v>
      </c>
      <c r="G325">
        <v>30</v>
      </c>
      <c r="H325" s="2">
        <v>101.61</v>
      </c>
    </row>
    <row r="326" spans="2:8" x14ac:dyDescent="0.2">
      <c r="B326" s="5">
        <v>38501.490702923089</v>
      </c>
      <c r="C326" t="s">
        <v>0</v>
      </c>
      <c r="D326" t="s">
        <v>9</v>
      </c>
      <c r="E326" t="s">
        <v>29</v>
      </c>
      <c r="F326" t="s">
        <v>27</v>
      </c>
      <c r="G326">
        <v>35</v>
      </c>
      <c r="H326" s="2">
        <v>120.82</v>
      </c>
    </row>
    <row r="327" spans="2:8" x14ac:dyDescent="0.2">
      <c r="B327" s="5">
        <v>38514.040576122628</v>
      </c>
      <c r="C327" t="s">
        <v>3</v>
      </c>
      <c r="D327" t="s">
        <v>19</v>
      </c>
      <c r="E327" t="s">
        <v>29</v>
      </c>
      <c r="F327" t="s">
        <v>27</v>
      </c>
      <c r="G327">
        <v>785</v>
      </c>
      <c r="H327" s="2">
        <v>3312.45</v>
      </c>
    </row>
    <row r="328" spans="2:8" x14ac:dyDescent="0.2">
      <c r="B328" s="5">
        <v>38515.267679109122</v>
      </c>
      <c r="C328" t="s">
        <v>1</v>
      </c>
      <c r="D328" t="s">
        <v>9</v>
      </c>
      <c r="E328" t="s">
        <v>29</v>
      </c>
      <c r="F328" t="s">
        <v>27</v>
      </c>
      <c r="G328">
        <v>265</v>
      </c>
      <c r="H328" s="2">
        <v>936.05</v>
      </c>
    </row>
    <row r="329" spans="2:8" x14ac:dyDescent="0.2">
      <c r="B329" s="5">
        <v>38520.595139879057</v>
      </c>
      <c r="C329" t="s">
        <v>3</v>
      </c>
      <c r="D329" t="s">
        <v>15</v>
      </c>
      <c r="E329" t="s">
        <v>29</v>
      </c>
      <c r="F329" t="s">
        <v>27</v>
      </c>
      <c r="G329">
        <v>140</v>
      </c>
      <c r="H329" s="2">
        <v>474.99</v>
      </c>
    </row>
    <row r="330" spans="2:8" x14ac:dyDescent="0.2">
      <c r="B330" s="5">
        <v>38529.784413024623</v>
      </c>
      <c r="C330" t="s">
        <v>1</v>
      </c>
      <c r="D330" t="s">
        <v>9</v>
      </c>
      <c r="E330" t="s">
        <v>29</v>
      </c>
      <c r="F330" t="s">
        <v>27</v>
      </c>
      <c r="G330">
        <v>125</v>
      </c>
      <c r="H330" s="2">
        <v>420.82</v>
      </c>
    </row>
    <row r="331" spans="2:8" x14ac:dyDescent="0.2">
      <c r="B331" s="5">
        <v>38539.088286773658</v>
      </c>
      <c r="C331" t="s">
        <v>1</v>
      </c>
      <c r="D331" t="s">
        <v>24</v>
      </c>
      <c r="E331" t="s">
        <v>29</v>
      </c>
      <c r="F331" t="s">
        <v>27</v>
      </c>
      <c r="G331">
        <v>120</v>
      </c>
      <c r="H331" s="2">
        <v>878.73</v>
      </c>
    </row>
    <row r="332" spans="2:8" x14ac:dyDescent="0.2">
      <c r="B332" s="5">
        <v>38542.314754111147</v>
      </c>
      <c r="C332" t="s">
        <v>4</v>
      </c>
      <c r="D332" t="s">
        <v>9</v>
      </c>
      <c r="E332" t="s">
        <v>29</v>
      </c>
      <c r="F332" t="s">
        <v>27</v>
      </c>
      <c r="G332">
        <v>455</v>
      </c>
      <c r="H332" s="2">
        <v>1196.79</v>
      </c>
    </row>
    <row r="333" spans="2:8" x14ac:dyDescent="0.2">
      <c r="B333" s="5">
        <v>38555.943412378248</v>
      </c>
      <c r="C333" t="s">
        <v>4</v>
      </c>
      <c r="D333" t="s">
        <v>20</v>
      </c>
      <c r="E333" t="s">
        <v>29</v>
      </c>
      <c r="F333" t="s">
        <v>27</v>
      </c>
      <c r="G333">
        <v>505</v>
      </c>
      <c r="H333" s="2">
        <v>1577.5</v>
      </c>
    </row>
    <row r="334" spans="2:8" x14ac:dyDescent="0.2">
      <c r="B334" s="5">
        <v>38577.889563867655</v>
      </c>
      <c r="C334" t="s">
        <v>4</v>
      </c>
      <c r="D334" t="s">
        <v>17</v>
      </c>
      <c r="E334" t="s">
        <v>29</v>
      </c>
      <c r="F334" t="s">
        <v>27</v>
      </c>
      <c r="G334">
        <v>450</v>
      </c>
      <c r="H334" s="2">
        <v>1447.42</v>
      </c>
    </row>
    <row r="335" spans="2:8" x14ac:dyDescent="0.2">
      <c r="B335" s="5">
        <v>38590.997432693453</v>
      </c>
      <c r="C335" t="s">
        <v>0</v>
      </c>
      <c r="D335" t="s">
        <v>12</v>
      </c>
      <c r="E335" t="s">
        <v>29</v>
      </c>
      <c r="F335" t="s">
        <v>27</v>
      </c>
      <c r="G335">
        <v>350</v>
      </c>
      <c r="H335" s="2">
        <v>2634</v>
      </c>
    </row>
    <row r="336" spans="2:8" x14ac:dyDescent="0.2">
      <c r="B336" s="5">
        <v>38440.836786310239</v>
      </c>
      <c r="C336" t="s">
        <v>37</v>
      </c>
      <c r="D336" t="s">
        <v>8</v>
      </c>
      <c r="E336" t="s">
        <v>29</v>
      </c>
      <c r="F336" t="s">
        <v>38</v>
      </c>
      <c r="G336">
        <v>990</v>
      </c>
      <c r="H336" s="2">
        <v>7031.77</v>
      </c>
    </row>
    <row r="337" spans="2:8" x14ac:dyDescent="0.2">
      <c r="B337" s="5">
        <v>38462.352063320548</v>
      </c>
      <c r="C337" t="s">
        <v>0</v>
      </c>
      <c r="D337" t="s">
        <v>17</v>
      </c>
      <c r="E337" t="s">
        <v>29</v>
      </c>
      <c r="F337" t="s">
        <v>38</v>
      </c>
      <c r="G337">
        <v>820</v>
      </c>
      <c r="H337" s="2">
        <v>5994.27</v>
      </c>
    </row>
    <row r="338" spans="2:8" x14ac:dyDescent="0.2">
      <c r="B338" s="5">
        <v>38468.243602428724</v>
      </c>
      <c r="C338" t="s">
        <v>3</v>
      </c>
      <c r="D338" t="s">
        <v>9</v>
      </c>
      <c r="E338" t="s">
        <v>29</v>
      </c>
      <c r="F338" t="s">
        <v>38</v>
      </c>
      <c r="G338">
        <v>140</v>
      </c>
      <c r="H338" s="2">
        <v>665.84</v>
      </c>
    </row>
    <row r="339" spans="2:8" x14ac:dyDescent="0.2">
      <c r="B339" s="5">
        <v>38478.967854057104</v>
      </c>
      <c r="C339" t="s">
        <v>36</v>
      </c>
      <c r="D339" t="s">
        <v>7</v>
      </c>
      <c r="E339" t="s">
        <v>29</v>
      </c>
      <c r="F339" t="s">
        <v>38</v>
      </c>
      <c r="G339">
        <v>395</v>
      </c>
      <c r="H339" s="2">
        <v>3047.01</v>
      </c>
    </row>
    <row r="340" spans="2:8" x14ac:dyDescent="0.2">
      <c r="B340" s="5">
        <v>38497.358318025108</v>
      </c>
      <c r="C340" t="s">
        <v>37</v>
      </c>
      <c r="D340" t="s">
        <v>7</v>
      </c>
      <c r="E340" t="s">
        <v>29</v>
      </c>
      <c r="F340" t="s">
        <v>38</v>
      </c>
      <c r="G340">
        <v>25</v>
      </c>
      <c r="H340" s="2">
        <v>201.22</v>
      </c>
    </row>
  </sheetData>
  <phoneticPr fontId="1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54AF-52C3-4FE2-9B8D-2C0588880339}">
  <dimension ref="B2:I3"/>
  <sheetViews>
    <sheetView tabSelected="1" workbookViewId="0">
      <selection activeCell="I4" sqref="I4"/>
    </sheetView>
  </sheetViews>
  <sheetFormatPr defaultRowHeight="12.75" x14ac:dyDescent="0.2"/>
  <sheetData>
    <row r="2" spans="2:9" x14ac:dyDescent="0.2">
      <c r="B2" s="6" t="s">
        <v>32</v>
      </c>
      <c r="C2" s="6" t="s">
        <v>33</v>
      </c>
      <c r="D2" s="6" t="s">
        <v>45</v>
      </c>
      <c r="E2" s="6" t="s">
        <v>70</v>
      </c>
      <c r="F2" s="6" t="s">
        <v>115</v>
      </c>
      <c r="G2" s="6" t="s">
        <v>83</v>
      </c>
      <c r="H2" s="6" t="s">
        <v>116</v>
      </c>
      <c r="I2" s="6" t="s">
        <v>117</v>
      </c>
    </row>
    <row r="3" spans="2:9" x14ac:dyDescent="0.2">
      <c r="D3" s="6" t="s">
        <v>113</v>
      </c>
      <c r="E3" s="6" t="s">
        <v>114</v>
      </c>
      <c r="F3" s="6" t="s">
        <v>114</v>
      </c>
      <c r="G3" s="6" t="s">
        <v>114</v>
      </c>
      <c r="H3" s="6" t="s">
        <v>118</v>
      </c>
      <c r="I3" s="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D7A6-EA6A-4BFF-B8FD-9EA64DF6C40E}">
  <dimension ref="B2:O340"/>
  <sheetViews>
    <sheetView workbookViewId="0">
      <selection activeCell="I3" sqref="I3"/>
    </sheetView>
  </sheetViews>
  <sheetFormatPr defaultRowHeight="12.75" x14ac:dyDescent="0.2"/>
  <cols>
    <col min="2" max="2" width="18.140625" bestFit="1" customWidth="1"/>
    <col min="3" max="3" width="8.7109375" bestFit="1" customWidth="1"/>
    <col min="4" max="4" width="5" bestFit="1" customWidth="1"/>
    <col min="5" max="5" width="9" bestFit="1" customWidth="1"/>
    <col min="6" max="6" width="15.85546875" bestFit="1" customWidth="1"/>
    <col min="7" max="7" width="11.5703125" bestFit="1" customWidth="1"/>
    <col min="8" max="8" width="8.5703125" bestFit="1" customWidth="1"/>
    <col min="9" max="9" width="12.28515625" bestFit="1" customWidth="1"/>
    <col min="10" max="11" width="15" bestFit="1" customWidth="1"/>
    <col min="12" max="12" width="16.5703125" bestFit="1" customWidth="1"/>
    <col min="13" max="13" width="10.7109375" bestFit="1" customWidth="1"/>
    <col min="14" max="14" width="12.42578125" bestFit="1" customWidth="1"/>
    <col min="15" max="15" width="10.28515625" bestFit="1" customWidth="1"/>
  </cols>
  <sheetData>
    <row r="2" spans="2:15" x14ac:dyDescent="0.2">
      <c r="B2" s="1" t="s">
        <v>30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6" t="s">
        <v>52</v>
      </c>
      <c r="L2" s="6" t="s">
        <v>53</v>
      </c>
      <c r="M2" s="6" t="s">
        <v>54</v>
      </c>
      <c r="N2" s="6" t="s">
        <v>55</v>
      </c>
      <c r="O2" s="6" t="s">
        <v>56</v>
      </c>
    </row>
    <row r="3" spans="2:15" x14ac:dyDescent="0.2">
      <c r="B3" s="5">
        <v>38407.489452039452</v>
      </c>
      <c r="C3">
        <v>1</v>
      </c>
      <c r="D3">
        <f>YEAR(B3)</f>
        <v>2005</v>
      </c>
      <c r="E3">
        <f>IF(F3&lt;7,1,2)</f>
        <v>1</v>
      </c>
      <c r="F3">
        <f>MONTH(B3)</f>
        <v>2</v>
      </c>
      <c r="G3" t="str">
        <f>VLOOKUP(F3,meses,2,FALSE)</f>
        <v>Fevereiro</v>
      </c>
      <c r="H3" t="str">
        <f>VLOOKUP(F3,season,2,FALSE)</f>
        <v>Winter</v>
      </c>
    </row>
    <row r="4" spans="2:15" x14ac:dyDescent="0.2">
      <c r="B4" s="5">
        <v>38410.433606750827</v>
      </c>
      <c r="C4">
        <v>2</v>
      </c>
      <c r="D4">
        <f t="shared" ref="D4:D67" si="0">YEAR(B4)</f>
        <v>2005</v>
      </c>
      <c r="E4">
        <f t="shared" ref="E4:E67" si="1">IF(F4&lt;7,1,2)</f>
        <v>1</v>
      </c>
      <c r="F4">
        <f t="shared" ref="F4:F67" si="2">MONTH(B4)</f>
        <v>2</v>
      </c>
      <c r="G4" t="str">
        <f>VLOOKUP(F4,meses,2,FALSE)</f>
        <v>Fevereiro</v>
      </c>
      <c r="H4" t="str">
        <f>VLOOKUP(F4,season,2,FALSE)</f>
        <v>Winter</v>
      </c>
    </row>
    <row r="5" spans="2:15" x14ac:dyDescent="0.2">
      <c r="B5" s="5">
        <v>38411.878229510097</v>
      </c>
      <c r="C5">
        <v>3</v>
      </c>
      <c r="D5">
        <f t="shared" si="0"/>
        <v>2005</v>
      </c>
      <c r="E5">
        <f t="shared" si="1"/>
        <v>1</v>
      </c>
      <c r="F5">
        <f t="shared" si="2"/>
        <v>2</v>
      </c>
      <c r="G5" t="str">
        <f>VLOOKUP(F5,meses,2,FALSE)</f>
        <v>Fevereiro</v>
      </c>
      <c r="H5" t="str">
        <f>VLOOKUP(F5,season,2,FALSE)</f>
        <v>Winter</v>
      </c>
    </row>
    <row r="6" spans="2:15" x14ac:dyDescent="0.2">
      <c r="B6" s="5">
        <v>38416.753308547428</v>
      </c>
      <c r="C6">
        <v>4</v>
      </c>
      <c r="D6">
        <f t="shared" si="0"/>
        <v>2005</v>
      </c>
      <c r="E6">
        <f t="shared" si="1"/>
        <v>1</v>
      </c>
      <c r="F6">
        <f t="shared" si="2"/>
        <v>3</v>
      </c>
      <c r="G6" t="str">
        <f>VLOOKUP(F6,meses,2,FALSE)</f>
        <v>Março</v>
      </c>
      <c r="H6" t="str">
        <f>VLOOKUP(F6,season,2,FALSE)</f>
        <v>Sping</v>
      </c>
    </row>
    <row r="7" spans="2:15" x14ac:dyDescent="0.2">
      <c r="B7" s="5">
        <v>38418.1801149393</v>
      </c>
      <c r="C7">
        <v>5</v>
      </c>
      <c r="D7">
        <f t="shared" si="0"/>
        <v>2005</v>
      </c>
      <c r="E7">
        <f t="shared" si="1"/>
        <v>1</v>
      </c>
      <c r="F7">
        <f t="shared" si="2"/>
        <v>3</v>
      </c>
      <c r="G7" t="str">
        <f>VLOOKUP(F7,meses,2,FALSE)</f>
        <v>Março</v>
      </c>
      <c r="H7" t="str">
        <f>VLOOKUP(F7,season,2,FALSE)</f>
        <v>Sping</v>
      </c>
    </row>
    <row r="8" spans="2:15" x14ac:dyDescent="0.2">
      <c r="B8" s="5">
        <v>38418.260564735254</v>
      </c>
      <c r="C8">
        <v>6</v>
      </c>
      <c r="D8">
        <f t="shared" si="0"/>
        <v>2005</v>
      </c>
      <c r="E8">
        <f t="shared" si="1"/>
        <v>1</v>
      </c>
      <c r="F8">
        <f t="shared" si="2"/>
        <v>3</v>
      </c>
      <c r="G8" t="str">
        <f>VLOOKUP(F8,meses,2,FALSE)</f>
        <v>Março</v>
      </c>
      <c r="H8" t="str">
        <f>VLOOKUP(F8,season,2,FALSE)</f>
        <v>Sping</v>
      </c>
    </row>
    <row r="9" spans="2:15" x14ac:dyDescent="0.2">
      <c r="B9" s="5">
        <v>38418.613228464063</v>
      </c>
      <c r="C9">
        <v>7</v>
      </c>
      <c r="D9">
        <f t="shared" si="0"/>
        <v>2005</v>
      </c>
      <c r="E9">
        <f t="shared" si="1"/>
        <v>1</v>
      </c>
      <c r="F9">
        <f t="shared" si="2"/>
        <v>3</v>
      </c>
      <c r="G9" t="str">
        <f>VLOOKUP(F9,meses,2,FALSE)</f>
        <v>Março</v>
      </c>
      <c r="H9" t="str">
        <f>VLOOKUP(F9,season,2,FALSE)</f>
        <v>Sping</v>
      </c>
    </row>
    <row r="10" spans="2:15" x14ac:dyDescent="0.2">
      <c r="B10" s="5">
        <v>38421.232308921921</v>
      </c>
      <c r="C10">
        <v>8</v>
      </c>
      <c r="D10">
        <f t="shared" si="0"/>
        <v>2005</v>
      </c>
      <c r="E10">
        <f t="shared" si="1"/>
        <v>1</v>
      </c>
      <c r="F10">
        <f t="shared" si="2"/>
        <v>3</v>
      </c>
      <c r="G10" t="str">
        <f>VLOOKUP(F10,meses,2,FALSE)</f>
        <v>Março</v>
      </c>
      <c r="H10" t="str">
        <f>VLOOKUP(F10,season,2,FALSE)</f>
        <v>Sping</v>
      </c>
    </row>
    <row r="11" spans="2:15" x14ac:dyDescent="0.2">
      <c r="B11" s="5">
        <v>38423.897439834007</v>
      </c>
      <c r="C11">
        <v>9</v>
      </c>
      <c r="D11">
        <f t="shared" si="0"/>
        <v>2005</v>
      </c>
      <c r="E11">
        <f t="shared" si="1"/>
        <v>1</v>
      </c>
      <c r="F11">
        <f t="shared" si="2"/>
        <v>3</v>
      </c>
      <c r="G11" t="str">
        <f>VLOOKUP(F11,meses,2,FALSE)</f>
        <v>Março</v>
      </c>
      <c r="H11" t="str">
        <f>VLOOKUP(F11,season,2,FALSE)</f>
        <v>Sping</v>
      </c>
    </row>
    <row r="12" spans="2:15" x14ac:dyDescent="0.2">
      <c r="B12" s="5">
        <v>38424.316415309695</v>
      </c>
      <c r="C12">
        <v>10</v>
      </c>
      <c r="D12">
        <f t="shared" si="0"/>
        <v>2005</v>
      </c>
      <c r="E12">
        <f t="shared" si="1"/>
        <v>1</v>
      </c>
      <c r="F12">
        <f t="shared" si="2"/>
        <v>3</v>
      </c>
      <c r="G12" t="str">
        <f>VLOOKUP(F12,meses,2,FALSE)</f>
        <v>Março</v>
      </c>
      <c r="H12" t="str">
        <f>VLOOKUP(F12,season,2,FALSE)</f>
        <v>Sping</v>
      </c>
    </row>
    <row r="13" spans="2:15" x14ac:dyDescent="0.2">
      <c r="B13" s="5">
        <v>38427.558354236819</v>
      </c>
      <c r="C13">
        <v>11</v>
      </c>
      <c r="D13">
        <f t="shared" si="0"/>
        <v>2005</v>
      </c>
      <c r="E13">
        <f t="shared" si="1"/>
        <v>1</v>
      </c>
      <c r="F13">
        <f t="shared" si="2"/>
        <v>3</v>
      </c>
      <c r="G13" t="str">
        <f>VLOOKUP(F13,meses,2,FALSE)</f>
        <v>Março</v>
      </c>
      <c r="H13" t="str">
        <f>VLOOKUP(F13,season,2,FALSE)</f>
        <v>Sping</v>
      </c>
    </row>
    <row r="14" spans="2:15" x14ac:dyDescent="0.2">
      <c r="B14" s="5">
        <v>38428.399614839051</v>
      </c>
      <c r="C14">
        <v>12</v>
      </c>
      <c r="D14">
        <f t="shared" si="0"/>
        <v>2005</v>
      </c>
      <c r="E14">
        <f t="shared" si="1"/>
        <v>1</v>
      </c>
      <c r="F14">
        <f t="shared" si="2"/>
        <v>3</v>
      </c>
      <c r="G14" t="str">
        <f>VLOOKUP(F14,meses,2,FALSE)</f>
        <v>Março</v>
      </c>
      <c r="H14" t="str">
        <f>VLOOKUP(F14,season,2,FALSE)</f>
        <v>Sping</v>
      </c>
    </row>
    <row r="15" spans="2:15" x14ac:dyDescent="0.2">
      <c r="B15" s="5">
        <v>38429.149979887741</v>
      </c>
      <c r="C15">
        <v>13</v>
      </c>
      <c r="D15">
        <f t="shared" si="0"/>
        <v>2005</v>
      </c>
      <c r="E15">
        <f t="shared" si="1"/>
        <v>1</v>
      </c>
      <c r="F15">
        <f t="shared" si="2"/>
        <v>3</v>
      </c>
      <c r="G15" t="str">
        <f>VLOOKUP(F15,meses,2,FALSE)</f>
        <v>Março</v>
      </c>
      <c r="H15" t="str">
        <f>VLOOKUP(F15,season,2,FALSE)</f>
        <v>Sping</v>
      </c>
    </row>
    <row r="16" spans="2:15" x14ac:dyDescent="0.2">
      <c r="B16" s="5">
        <v>38429.738448938107</v>
      </c>
      <c r="C16">
        <v>14</v>
      </c>
      <c r="D16">
        <f t="shared" si="0"/>
        <v>2005</v>
      </c>
      <c r="E16">
        <f t="shared" si="1"/>
        <v>1</v>
      </c>
      <c r="F16">
        <f t="shared" si="2"/>
        <v>3</v>
      </c>
      <c r="G16" t="str">
        <f>VLOOKUP(F16,meses,2,FALSE)</f>
        <v>Março</v>
      </c>
      <c r="H16" t="str">
        <f>VLOOKUP(F16,season,2,FALSE)</f>
        <v>Sping</v>
      </c>
    </row>
    <row r="17" spans="2:8" x14ac:dyDescent="0.2">
      <c r="B17" s="5">
        <v>38430.485850910809</v>
      </c>
      <c r="C17">
        <v>15</v>
      </c>
      <c r="D17">
        <f t="shared" si="0"/>
        <v>2005</v>
      </c>
      <c r="E17">
        <f t="shared" si="1"/>
        <v>1</v>
      </c>
      <c r="F17">
        <f t="shared" si="2"/>
        <v>3</v>
      </c>
      <c r="G17" t="str">
        <f>VLOOKUP(F17,meses,2,FALSE)</f>
        <v>Março</v>
      </c>
      <c r="H17" t="str">
        <f>VLOOKUP(F17,season,2,FALSE)</f>
        <v>Sping</v>
      </c>
    </row>
    <row r="18" spans="2:8" x14ac:dyDescent="0.2">
      <c r="B18" s="5">
        <v>38431.436088493734</v>
      </c>
      <c r="C18">
        <v>16</v>
      </c>
      <c r="D18">
        <f t="shared" si="0"/>
        <v>2005</v>
      </c>
      <c r="E18">
        <f t="shared" si="1"/>
        <v>1</v>
      </c>
      <c r="F18">
        <f t="shared" si="2"/>
        <v>3</v>
      </c>
      <c r="G18" t="str">
        <f>VLOOKUP(F18,meses,2,FALSE)</f>
        <v>Março</v>
      </c>
      <c r="H18" t="str">
        <f>VLOOKUP(F18,season,2,FALSE)</f>
        <v>Sping</v>
      </c>
    </row>
    <row r="19" spans="2:8" x14ac:dyDescent="0.2">
      <c r="B19" s="5">
        <v>38431.605631451544</v>
      </c>
      <c r="C19">
        <v>17</v>
      </c>
      <c r="D19">
        <f t="shared" si="0"/>
        <v>2005</v>
      </c>
      <c r="E19">
        <f t="shared" si="1"/>
        <v>1</v>
      </c>
      <c r="F19">
        <f t="shared" si="2"/>
        <v>3</v>
      </c>
      <c r="G19" t="str">
        <f>VLOOKUP(F19,meses,2,FALSE)</f>
        <v>Março</v>
      </c>
      <c r="H19" t="str">
        <f>VLOOKUP(F19,season,2,FALSE)</f>
        <v>Sping</v>
      </c>
    </row>
    <row r="20" spans="2:8" x14ac:dyDescent="0.2">
      <c r="B20" s="5">
        <v>38431.715004332691</v>
      </c>
      <c r="C20">
        <v>18</v>
      </c>
      <c r="D20">
        <f t="shared" si="0"/>
        <v>2005</v>
      </c>
      <c r="E20">
        <f t="shared" si="1"/>
        <v>1</v>
      </c>
      <c r="F20">
        <f t="shared" si="2"/>
        <v>3</v>
      </c>
      <c r="G20" t="str">
        <f>VLOOKUP(F20,meses,2,FALSE)</f>
        <v>Março</v>
      </c>
      <c r="H20" t="str">
        <f>VLOOKUP(F20,season,2,FALSE)</f>
        <v>Sping</v>
      </c>
    </row>
    <row r="21" spans="2:8" x14ac:dyDescent="0.2">
      <c r="B21" s="5">
        <v>38431.998036309044</v>
      </c>
      <c r="C21">
        <v>19</v>
      </c>
      <c r="D21">
        <f t="shared" si="0"/>
        <v>2005</v>
      </c>
      <c r="E21">
        <f t="shared" si="1"/>
        <v>1</v>
      </c>
      <c r="F21">
        <f t="shared" si="2"/>
        <v>3</v>
      </c>
      <c r="G21" t="str">
        <f>VLOOKUP(F21,meses,2,FALSE)</f>
        <v>Março</v>
      </c>
      <c r="H21" t="str">
        <f>VLOOKUP(F21,season,2,FALSE)</f>
        <v>Sping</v>
      </c>
    </row>
    <row r="22" spans="2:8" x14ac:dyDescent="0.2">
      <c r="B22" s="5">
        <v>38432.18123974745</v>
      </c>
      <c r="C22">
        <v>20</v>
      </c>
      <c r="D22">
        <f t="shared" si="0"/>
        <v>2005</v>
      </c>
      <c r="E22">
        <f t="shared" si="1"/>
        <v>1</v>
      </c>
      <c r="F22">
        <f t="shared" si="2"/>
        <v>3</v>
      </c>
      <c r="G22" t="str">
        <f>VLOOKUP(F22,meses,2,FALSE)</f>
        <v>Março</v>
      </c>
      <c r="H22" t="str">
        <f>VLOOKUP(F22,season,2,FALSE)</f>
        <v>Sping</v>
      </c>
    </row>
    <row r="23" spans="2:8" x14ac:dyDescent="0.2">
      <c r="B23" s="5">
        <v>38432.393676598287</v>
      </c>
      <c r="C23">
        <v>21</v>
      </c>
      <c r="D23">
        <f t="shared" si="0"/>
        <v>2005</v>
      </c>
      <c r="E23">
        <f t="shared" si="1"/>
        <v>1</v>
      </c>
      <c r="F23">
        <f t="shared" si="2"/>
        <v>3</v>
      </c>
      <c r="G23" t="str">
        <f>VLOOKUP(F23,meses,2,FALSE)</f>
        <v>Março</v>
      </c>
      <c r="H23" t="str">
        <f>VLOOKUP(F23,season,2,FALSE)</f>
        <v>Sping</v>
      </c>
    </row>
    <row r="24" spans="2:8" x14ac:dyDescent="0.2">
      <c r="B24" s="5">
        <v>38432.700973086314</v>
      </c>
      <c r="C24">
        <v>22</v>
      </c>
      <c r="D24">
        <f t="shared" si="0"/>
        <v>2005</v>
      </c>
      <c r="E24">
        <f t="shared" si="1"/>
        <v>1</v>
      </c>
      <c r="F24">
        <f t="shared" si="2"/>
        <v>3</v>
      </c>
      <c r="G24" t="str">
        <f>VLOOKUP(F24,meses,2,FALSE)</f>
        <v>Março</v>
      </c>
      <c r="H24" t="str">
        <f>VLOOKUP(F24,season,2,FALSE)</f>
        <v>Sping</v>
      </c>
    </row>
    <row r="25" spans="2:8" x14ac:dyDescent="0.2">
      <c r="B25" s="5">
        <v>38433.391879448944</v>
      </c>
      <c r="C25">
        <v>23</v>
      </c>
      <c r="D25">
        <f t="shared" si="0"/>
        <v>2005</v>
      </c>
      <c r="E25">
        <f t="shared" si="1"/>
        <v>1</v>
      </c>
      <c r="F25">
        <f t="shared" si="2"/>
        <v>3</v>
      </c>
      <c r="G25" t="str">
        <f>VLOOKUP(F25,meses,2,FALSE)</f>
        <v>Março</v>
      </c>
      <c r="H25" t="str">
        <f>VLOOKUP(F25,season,2,FALSE)</f>
        <v>Sping</v>
      </c>
    </row>
    <row r="26" spans="2:8" x14ac:dyDescent="0.2">
      <c r="B26" s="5">
        <v>38435.148331771787</v>
      </c>
      <c r="C26">
        <v>24</v>
      </c>
      <c r="D26">
        <f t="shared" si="0"/>
        <v>2005</v>
      </c>
      <c r="E26">
        <f t="shared" si="1"/>
        <v>1</v>
      </c>
      <c r="F26">
        <f t="shared" si="2"/>
        <v>3</v>
      </c>
      <c r="G26" t="str">
        <f>VLOOKUP(F26,meses,2,FALSE)</f>
        <v>Março</v>
      </c>
      <c r="H26" t="str">
        <f>VLOOKUP(F26,season,2,FALSE)</f>
        <v>Sping</v>
      </c>
    </row>
    <row r="27" spans="2:8" x14ac:dyDescent="0.2">
      <c r="B27" s="5">
        <v>38435.690081368361</v>
      </c>
      <c r="C27">
        <v>25</v>
      </c>
      <c r="D27">
        <f t="shared" si="0"/>
        <v>2005</v>
      </c>
      <c r="E27">
        <f t="shared" si="1"/>
        <v>1</v>
      </c>
      <c r="F27">
        <f t="shared" si="2"/>
        <v>3</v>
      </c>
      <c r="G27" t="str">
        <f>VLOOKUP(F27,meses,2,FALSE)</f>
        <v>Março</v>
      </c>
      <c r="H27" t="str">
        <f>VLOOKUP(F27,season,2,FALSE)</f>
        <v>Sping</v>
      </c>
    </row>
    <row r="28" spans="2:8" x14ac:dyDescent="0.2">
      <c r="B28" s="5">
        <v>38436.582005767676</v>
      </c>
      <c r="C28">
        <v>26</v>
      </c>
      <c r="D28">
        <f t="shared" si="0"/>
        <v>2005</v>
      </c>
      <c r="E28">
        <f t="shared" si="1"/>
        <v>1</v>
      </c>
      <c r="F28">
        <f t="shared" si="2"/>
        <v>3</v>
      </c>
      <c r="G28" t="str">
        <f>VLOOKUP(F28,meses,2,FALSE)</f>
        <v>Março</v>
      </c>
      <c r="H28" t="str">
        <f>VLOOKUP(F28,season,2,FALSE)</f>
        <v>Sping</v>
      </c>
    </row>
    <row r="29" spans="2:8" x14ac:dyDescent="0.2">
      <c r="B29" s="5">
        <v>38438.420954070956</v>
      </c>
      <c r="C29">
        <v>27</v>
      </c>
      <c r="D29">
        <f t="shared" si="0"/>
        <v>2005</v>
      </c>
      <c r="E29">
        <f t="shared" si="1"/>
        <v>1</v>
      </c>
      <c r="F29">
        <f t="shared" si="2"/>
        <v>3</v>
      </c>
      <c r="G29" t="str">
        <f>VLOOKUP(F29,meses,2,FALSE)</f>
        <v>Março</v>
      </c>
      <c r="H29" t="str">
        <f>VLOOKUP(F29,season,2,FALSE)</f>
        <v>Sping</v>
      </c>
    </row>
    <row r="30" spans="2:8" x14ac:dyDescent="0.2">
      <c r="B30" s="5">
        <v>38440.79522832096</v>
      </c>
      <c r="C30">
        <v>28</v>
      </c>
      <c r="D30">
        <f t="shared" si="0"/>
        <v>2005</v>
      </c>
      <c r="E30">
        <f t="shared" si="1"/>
        <v>1</v>
      </c>
      <c r="F30">
        <f t="shared" si="2"/>
        <v>3</v>
      </c>
      <c r="G30" t="str">
        <f>VLOOKUP(F30,meses,2,FALSE)</f>
        <v>Março</v>
      </c>
      <c r="H30" t="str">
        <f>VLOOKUP(F30,season,2,FALSE)</f>
        <v>Sping</v>
      </c>
    </row>
    <row r="31" spans="2:8" x14ac:dyDescent="0.2">
      <c r="B31" s="5">
        <v>38440.836786310239</v>
      </c>
      <c r="C31">
        <v>29</v>
      </c>
      <c r="D31">
        <f t="shared" si="0"/>
        <v>2005</v>
      </c>
      <c r="E31">
        <f t="shared" si="1"/>
        <v>1</v>
      </c>
      <c r="F31">
        <f t="shared" si="2"/>
        <v>3</v>
      </c>
      <c r="G31" t="str">
        <f>VLOOKUP(F31,meses,2,FALSE)</f>
        <v>Março</v>
      </c>
      <c r="H31" t="str">
        <f>VLOOKUP(F31,season,2,FALSE)</f>
        <v>Sping</v>
      </c>
    </row>
    <row r="32" spans="2:8" x14ac:dyDescent="0.2">
      <c r="B32" s="5">
        <v>38441.291351740379</v>
      </c>
      <c r="C32">
        <v>30</v>
      </c>
      <c r="D32">
        <f t="shared" si="0"/>
        <v>2005</v>
      </c>
      <c r="E32">
        <f t="shared" si="1"/>
        <v>1</v>
      </c>
      <c r="F32">
        <f t="shared" si="2"/>
        <v>3</v>
      </c>
      <c r="G32" t="str">
        <f>VLOOKUP(F32,meses,2,FALSE)</f>
        <v>Março</v>
      </c>
      <c r="H32" t="str">
        <f>VLOOKUP(F32,season,2,FALSE)</f>
        <v>Sping</v>
      </c>
    </row>
    <row r="33" spans="2:8" x14ac:dyDescent="0.2">
      <c r="B33" s="5">
        <v>38441.718210335959</v>
      </c>
      <c r="C33">
        <v>31</v>
      </c>
      <c r="D33">
        <f t="shared" si="0"/>
        <v>2005</v>
      </c>
      <c r="E33">
        <f t="shared" si="1"/>
        <v>1</v>
      </c>
      <c r="F33">
        <f t="shared" si="2"/>
        <v>3</v>
      </c>
      <c r="G33" t="str">
        <f>VLOOKUP(F33,meses,2,FALSE)</f>
        <v>Março</v>
      </c>
      <c r="H33" t="str">
        <f>VLOOKUP(F33,season,2,FALSE)</f>
        <v>Sping</v>
      </c>
    </row>
    <row r="34" spans="2:8" x14ac:dyDescent="0.2">
      <c r="B34" s="5">
        <v>38442.540137306016</v>
      </c>
      <c r="C34">
        <v>32</v>
      </c>
      <c r="D34">
        <f t="shared" si="0"/>
        <v>2005</v>
      </c>
      <c r="E34">
        <f t="shared" si="1"/>
        <v>1</v>
      </c>
      <c r="F34">
        <f t="shared" si="2"/>
        <v>3</v>
      </c>
      <c r="G34" t="str">
        <f>VLOOKUP(F34,meses,2,FALSE)</f>
        <v>Março</v>
      </c>
      <c r="H34" t="str">
        <f>VLOOKUP(F34,season,2,FALSE)</f>
        <v>Sping</v>
      </c>
    </row>
    <row r="35" spans="2:8" x14ac:dyDescent="0.2">
      <c r="B35" s="5">
        <v>38443.752990675406</v>
      </c>
      <c r="C35">
        <v>33</v>
      </c>
      <c r="D35">
        <f t="shared" si="0"/>
        <v>2005</v>
      </c>
      <c r="E35">
        <f t="shared" si="1"/>
        <v>1</v>
      </c>
      <c r="F35">
        <f t="shared" si="2"/>
        <v>4</v>
      </c>
      <c r="G35" t="str">
        <f>VLOOKUP(F35,meses,2,FALSE)</f>
        <v>Abril</v>
      </c>
      <c r="H35" t="str">
        <f>VLOOKUP(F35,season,2,FALSE)</f>
        <v>Sping</v>
      </c>
    </row>
    <row r="36" spans="2:8" x14ac:dyDescent="0.2">
      <c r="B36" s="5">
        <v>38444.149464252914</v>
      </c>
      <c r="C36">
        <v>34</v>
      </c>
      <c r="D36">
        <f t="shared" si="0"/>
        <v>2005</v>
      </c>
      <c r="E36">
        <f t="shared" si="1"/>
        <v>1</v>
      </c>
      <c r="F36">
        <f t="shared" si="2"/>
        <v>4</v>
      </c>
      <c r="G36" t="str">
        <f>VLOOKUP(F36,meses,2,FALSE)</f>
        <v>Abril</v>
      </c>
      <c r="H36" t="str">
        <f>VLOOKUP(F36,season,2,FALSE)</f>
        <v>Sping</v>
      </c>
    </row>
    <row r="37" spans="2:8" x14ac:dyDescent="0.2">
      <c r="B37" s="5">
        <v>38444.675799187506</v>
      </c>
      <c r="C37">
        <v>35</v>
      </c>
      <c r="D37">
        <f t="shared" si="0"/>
        <v>2005</v>
      </c>
      <c r="E37">
        <f t="shared" si="1"/>
        <v>1</v>
      </c>
      <c r="F37">
        <f t="shared" si="2"/>
        <v>4</v>
      </c>
      <c r="G37" t="str">
        <f>VLOOKUP(F37,meses,2,FALSE)</f>
        <v>Abril</v>
      </c>
      <c r="H37" t="str">
        <f>VLOOKUP(F37,season,2,FALSE)</f>
        <v>Sping</v>
      </c>
    </row>
    <row r="38" spans="2:8" x14ac:dyDescent="0.2">
      <c r="B38" s="5">
        <v>38445.24790862175</v>
      </c>
      <c r="C38">
        <v>36</v>
      </c>
      <c r="D38">
        <f t="shared" si="0"/>
        <v>2005</v>
      </c>
      <c r="E38">
        <f t="shared" si="1"/>
        <v>1</v>
      </c>
      <c r="F38">
        <f t="shared" si="2"/>
        <v>4</v>
      </c>
      <c r="G38" t="str">
        <f>VLOOKUP(F38,meses,2,FALSE)</f>
        <v>Abril</v>
      </c>
      <c r="H38" t="str">
        <f>VLOOKUP(F38,season,2,FALSE)</f>
        <v>Sping</v>
      </c>
    </row>
    <row r="39" spans="2:8" x14ac:dyDescent="0.2">
      <c r="B39" s="5">
        <v>38445.461845642472</v>
      </c>
      <c r="C39">
        <v>37</v>
      </c>
      <c r="D39">
        <f t="shared" si="0"/>
        <v>2005</v>
      </c>
      <c r="E39">
        <f t="shared" si="1"/>
        <v>1</v>
      </c>
      <c r="F39">
        <f t="shared" si="2"/>
        <v>4</v>
      </c>
      <c r="G39" t="str">
        <f>VLOOKUP(F39,meses,2,FALSE)</f>
        <v>Abril</v>
      </c>
      <c r="H39" t="str">
        <f>VLOOKUP(F39,season,2,FALSE)</f>
        <v>Sping</v>
      </c>
    </row>
    <row r="40" spans="2:8" x14ac:dyDescent="0.2">
      <c r="B40" s="5">
        <v>38445.867356571049</v>
      </c>
      <c r="C40">
        <v>38</v>
      </c>
      <c r="D40">
        <f t="shared" si="0"/>
        <v>2005</v>
      </c>
      <c r="E40">
        <f t="shared" si="1"/>
        <v>1</v>
      </c>
      <c r="F40">
        <f t="shared" si="2"/>
        <v>4</v>
      </c>
      <c r="G40" t="str">
        <f>VLOOKUP(F40,meses,2,FALSE)</f>
        <v>Abril</v>
      </c>
      <c r="H40" t="str">
        <f>VLOOKUP(F40,season,2,FALSE)</f>
        <v>Sping</v>
      </c>
    </row>
    <row r="41" spans="2:8" x14ac:dyDescent="0.2">
      <c r="B41" s="5">
        <v>38447.342853423346</v>
      </c>
      <c r="C41">
        <v>39</v>
      </c>
      <c r="D41">
        <f t="shared" si="0"/>
        <v>2005</v>
      </c>
      <c r="E41">
        <f t="shared" si="1"/>
        <v>1</v>
      </c>
      <c r="F41">
        <f t="shared" si="2"/>
        <v>4</v>
      </c>
      <c r="G41" t="str">
        <f>VLOOKUP(F41,meses,2,FALSE)</f>
        <v>Abril</v>
      </c>
      <c r="H41" t="str">
        <f>VLOOKUP(F41,season,2,FALSE)</f>
        <v>Sping</v>
      </c>
    </row>
    <row r="42" spans="2:8" x14ac:dyDescent="0.2">
      <c r="B42" s="5">
        <v>38448.178420534707</v>
      </c>
      <c r="C42">
        <v>40</v>
      </c>
      <c r="D42">
        <f t="shared" si="0"/>
        <v>2005</v>
      </c>
      <c r="E42">
        <f t="shared" si="1"/>
        <v>1</v>
      </c>
      <c r="F42">
        <f t="shared" si="2"/>
        <v>4</v>
      </c>
      <c r="G42" t="str">
        <f>VLOOKUP(F42,meses,2,FALSE)</f>
        <v>Abril</v>
      </c>
      <c r="H42" t="str">
        <f>VLOOKUP(F42,season,2,FALSE)</f>
        <v>Sping</v>
      </c>
    </row>
    <row r="43" spans="2:8" x14ac:dyDescent="0.2">
      <c r="B43" s="5">
        <v>38448.469979821479</v>
      </c>
      <c r="C43">
        <v>41</v>
      </c>
      <c r="D43">
        <f t="shared" si="0"/>
        <v>2005</v>
      </c>
      <c r="E43">
        <f t="shared" si="1"/>
        <v>1</v>
      </c>
      <c r="F43">
        <f t="shared" si="2"/>
        <v>4</v>
      </c>
      <c r="G43" t="str">
        <f>VLOOKUP(F43,meses,2,FALSE)</f>
        <v>Abril</v>
      </c>
      <c r="H43" t="str">
        <f>VLOOKUP(F43,season,2,FALSE)</f>
        <v>Sping</v>
      </c>
    </row>
    <row r="44" spans="2:8" x14ac:dyDescent="0.2">
      <c r="B44" s="5">
        <v>38449.930039168656</v>
      </c>
      <c r="C44">
        <v>42</v>
      </c>
      <c r="D44">
        <f t="shared" si="0"/>
        <v>2005</v>
      </c>
      <c r="E44">
        <f t="shared" si="1"/>
        <v>1</v>
      </c>
      <c r="F44">
        <f t="shared" si="2"/>
        <v>4</v>
      </c>
      <c r="G44" t="str">
        <f>VLOOKUP(F44,meses,2,FALSE)</f>
        <v>Abril</v>
      </c>
      <c r="H44" t="str">
        <f>VLOOKUP(F44,season,2,FALSE)</f>
        <v>Sping</v>
      </c>
    </row>
    <row r="45" spans="2:8" x14ac:dyDescent="0.2">
      <c r="B45" s="5">
        <v>38450.367884188629</v>
      </c>
      <c r="C45">
        <v>43</v>
      </c>
      <c r="D45">
        <f t="shared" si="0"/>
        <v>2005</v>
      </c>
      <c r="E45">
        <f t="shared" si="1"/>
        <v>1</v>
      </c>
      <c r="F45">
        <f t="shared" si="2"/>
        <v>4</v>
      </c>
      <c r="G45" t="str">
        <f>VLOOKUP(F45,meses,2,FALSE)</f>
        <v>Abril</v>
      </c>
      <c r="H45" t="str">
        <f>VLOOKUP(F45,season,2,FALSE)</f>
        <v>Sping</v>
      </c>
    </row>
    <row r="46" spans="2:8" x14ac:dyDescent="0.2">
      <c r="B46" s="5">
        <v>38450.792966549452</v>
      </c>
      <c r="C46">
        <v>44</v>
      </c>
      <c r="D46">
        <f t="shared" si="0"/>
        <v>2005</v>
      </c>
      <c r="E46">
        <f t="shared" si="1"/>
        <v>1</v>
      </c>
      <c r="F46">
        <f t="shared" si="2"/>
        <v>4</v>
      </c>
      <c r="G46" t="str">
        <f>VLOOKUP(F46,meses,2,FALSE)</f>
        <v>Abril</v>
      </c>
      <c r="H46" t="str">
        <f>VLOOKUP(F46,season,2,FALSE)</f>
        <v>Sping</v>
      </c>
    </row>
    <row r="47" spans="2:8" x14ac:dyDescent="0.2">
      <c r="B47" s="5">
        <v>38451.509657267168</v>
      </c>
      <c r="C47">
        <v>45</v>
      </c>
      <c r="D47">
        <f t="shared" si="0"/>
        <v>2005</v>
      </c>
      <c r="E47">
        <f t="shared" si="1"/>
        <v>1</v>
      </c>
      <c r="F47">
        <f t="shared" si="2"/>
        <v>4</v>
      </c>
      <c r="G47" t="str">
        <f>VLOOKUP(F47,meses,2,FALSE)</f>
        <v>Abril</v>
      </c>
      <c r="H47" t="str">
        <f>VLOOKUP(F47,season,2,FALSE)</f>
        <v>Sping</v>
      </c>
    </row>
    <row r="48" spans="2:8" x14ac:dyDescent="0.2">
      <c r="B48" s="5">
        <v>38451.528218503103</v>
      </c>
      <c r="C48">
        <v>46</v>
      </c>
      <c r="D48">
        <f t="shared" si="0"/>
        <v>2005</v>
      </c>
      <c r="E48">
        <f t="shared" si="1"/>
        <v>1</v>
      </c>
      <c r="F48">
        <f t="shared" si="2"/>
        <v>4</v>
      </c>
      <c r="G48" t="str">
        <f>VLOOKUP(F48,meses,2,FALSE)</f>
        <v>Abril</v>
      </c>
      <c r="H48" t="str">
        <f>VLOOKUP(F48,season,2,FALSE)</f>
        <v>Sping</v>
      </c>
    </row>
    <row r="49" spans="2:8" x14ac:dyDescent="0.2">
      <c r="B49" s="5">
        <v>38451.627441863886</v>
      </c>
      <c r="C49">
        <v>47</v>
      </c>
      <c r="D49">
        <f t="shared" si="0"/>
        <v>2005</v>
      </c>
      <c r="E49">
        <f t="shared" si="1"/>
        <v>1</v>
      </c>
      <c r="F49">
        <f t="shared" si="2"/>
        <v>4</v>
      </c>
      <c r="G49" t="str">
        <f>VLOOKUP(F49,meses,2,FALSE)</f>
        <v>Abril</v>
      </c>
      <c r="H49" t="str">
        <f>VLOOKUP(F49,season,2,FALSE)</f>
        <v>Sping</v>
      </c>
    </row>
    <row r="50" spans="2:8" x14ac:dyDescent="0.2">
      <c r="B50" s="5">
        <v>38451.899413907253</v>
      </c>
      <c r="C50">
        <v>48</v>
      </c>
      <c r="D50">
        <f t="shared" si="0"/>
        <v>2005</v>
      </c>
      <c r="E50">
        <f t="shared" si="1"/>
        <v>1</v>
      </c>
      <c r="F50">
        <f t="shared" si="2"/>
        <v>4</v>
      </c>
      <c r="G50" t="str">
        <f>VLOOKUP(F50,meses,2,FALSE)</f>
        <v>Abril</v>
      </c>
      <c r="H50" t="str">
        <f>VLOOKUP(F50,season,2,FALSE)</f>
        <v>Sping</v>
      </c>
    </row>
    <row r="51" spans="2:8" x14ac:dyDescent="0.2">
      <c r="B51" s="5">
        <v>38452.064941210228</v>
      </c>
      <c r="C51">
        <v>49</v>
      </c>
      <c r="D51">
        <f t="shared" si="0"/>
        <v>2005</v>
      </c>
      <c r="E51">
        <f t="shared" si="1"/>
        <v>1</v>
      </c>
      <c r="F51">
        <f t="shared" si="2"/>
        <v>4</v>
      </c>
      <c r="G51" t="str">
        <f>VLOOKUP(F51,meses,2,FALSE)</f>
        <v>Abril</v>
      </c>
      <c r="H51" t="str">
        <f>VLOOKUP(F51,season,2,FALSE)</f>
        <v>Sping</v>
      </c>
    </row>
    <row r="52" spans="2:8" x14ac:dyDescent="0.2">
      <c r="B52" s="5">
        <v>38452.404601454102</v>
      </c>
      <c r="C52">
        <v>50</v>
      </c>
      <c r="D52">
        <f t="shared" si="0"/>
        <v>2005</v>
      </c>
      <c r="E52">
        <f t="shared" si="1"/>
        <v>1</v>
      </c>
      <c r="F52">
        <f t="shared" si="2"/>
        <v>4</v>
      </c>
      <c r="G52" t="str">
        <f>VLOOKUP(F52,meses,2,FALSE)</f>
        <v>Abril</v>
      </c>
      <c r="H52" t="str">
        <f>VLOOKUP(F52,season,2,FALSE)</f>
        <v>Sping</v>
      </c>
    </row>
    <row r="53" spans="2:8" x14ac:dyDescent="0.2">
      <c r="B53" s="5">
        <v>38452.596351119471</v>
      </c>
      <c r="C53">
        <v>51</v>
      </c>
      <c r="D53">
        <f t="shared" si="0"/>
        <v>2005</v>
      </c>
      <c r="E53">
        <f t="shared" si="1"/>
        <v>1</v>
      </c>
      <c r="F53">
        <f t="shared" si="2"/>
        <v>4</v>
      </c>
      <c r="G53" t="str">
        <f>VLOOKUP(F53,meses,2,FALSE)</f>
        <v>Abril</v>
      </c>
      <c r="H53" t="str">
        <f>VLOOKUP(F53,season,2,FALSE)</f>
        <v>Sping</v>
      </c>
    </row>
    <row r="54" spans="2:8" x14ac:dyDescent="0.2">
      <c r="B54" s="5">
        <v>38454.479317610247</v>
      </c>
      <c r="C54">
        <v>52</v>
      </c>
      <c r="D54">
        <f t="shared" si="0"/>
        <v>2005</v>
      </c>
      <c r="E54">
        <f t="shared" si="1"/>
        <v>1</v>
      </c>
      <c r="F54">
        <f t="shared" si="2"/>
        <v>4</v>
      </c>
      <c r="G54" t="str">
        <f>VLOOKUP(F54,meses,2,FALSE)</f>
        <v>Abril</v>
      </c>
      <c r="H54" t="str">
        <f>VLOOKUP(F54,season,2,FALSE)</f>
        <v>Sping</v>
      </c>
    </row>
    <row r="55" spans="2:8" x14ac:dyDescent="0.2">
      <c r="B55" s="5">
        <v>38455.299489112374</v>
      </c>
      <c r="C55">
        <v>53</v>
      </c>
      <c r="D55">
        <f t="shared" si="0"/>
        <v>2005</v>
      </c>
      <c r="E55">
        <f t="shared" si="1"/>
        <v>1</v>
      </c>
      <c r="F55">
        <f t="shared" si="2"/>
        <v>4</v>
      </c>
      <c r="G55" t="str">
        <f>VLOOKUP(F55,meses,2,FALSE)</f>
        <v>Abril</v>
      </c>
      <c r="H55" t="str">
        <f>VLOOKUP(F55,season,2,FALSE)</f>
        <v>Sping</v>
      </c>
    </row>
    <row r="56" spans="2:8" x14ac:dyDescent="0.2">
      <c r="B56" s="5">
        <v>38455.390652645903</v>
      </c>
      <c r="C56">
        <v>54</v>
      </c>
      <c r="D56">
        <f t="shared" si="0"/>
        <v>2005</v>
      </c>
      <c r="E56">
        <f t="shared" si="1"/>
        <v>1</v>
      </c>
      <c r="F56">
        <f t="shared" si="2"/>
        <v>4</v>
      </c>
      <c r="G56" t="str">
        <f>VLOOKUP(F56,meses,2,FALSE)</f>
        <v>Abril</v>
      </c>
      <c r="H56" t="str">
        <f>VLOOKUP(F56,season,2,FALSE)</f>
        <v>Sping</v>
      </c>
    </row>
    <row r="57" spans="2:8" x14ac:dyDescent="0.2">
      <c r="B57" s="5">
        <v>38455.408400777989</v>
      </c>
      <c r="C57">
        <v>55</v>
      </c>
      <c r="D57">
        <f t="shared" si="0"/>
        <v>2005</v>
      </c>
      <c r="E57">
        <f t="shared" si="1"/>
        <v>1</v>
      </c>
      <c r="F57">
        <f t="shared" si="2"/>
        <v>4</v>
      </c>
      <c r="G57" t="str">
        <f>VLOOKUP(F57,meses,2,FALSE)</f>
        <v>Abril</v>
      </c>
      <c r="H57" t="str">
        <f>VLOOKUP(F57,season,2,FALSE)</f>
        <v>Sping</v>
      </c>
    </row>
    <row r="58" spans="2:8" x14ac:dyDescent="0.2">
      <c r="B58" s="5">
        <v>38455.58567519729</v>
      </c>
      <c r="C58">
        <v>56</v>
      </c>
      <c r="D58">
        <f t="shared" si="0"/>
        <v>2005</v>
      </c>
      <c r="E58">
        <f t="shared" si="1"/>
        <v>1</v>
      </c>
      <c r="F58">
        <f t="shared" si="2"/>
        <v>4</v>
      </c>
      <c r="G58" t="str">
        <f>VLOOKUP(F58,meses,2,FALSE)</f>
        <v>Abril</v>
      </c>
      <c r="H58" t="str">
        <f>VLOOKUP(F58,season,2,FALSE)</f>
        <v>Sping</v>
      </c>
    </row>
    <row r="59" spans="2:8" x14ac:dyDescent="0.2">
      <c r="B59" s="5">
        <v>38455.795931291883</v>
      </c>
      <c r="C59">
        <v>57</v>
      </c>
      <c r="D59">
        <f t="shared" si="0"/>
        <v>2005</v>
      </c>
      <c r="E59">
        <f t="shared" si="1"/>
        <v>1</v>
      </c>
      <c r="F59">
        <f t="shared" si="2"/>
        <v>4</v>
      </c>
      <c r="G59" t="str">
        <f>VLOOKUP(F59,meses,2,FALSE)</f>
        <v>Abril</v>
      </c>
      <c r="H59" t="str">
        <f>VLOOKUP(F59,season,2,FALSE)</f>
        <v>Sping</v>
      </c>
    </row>
    <row r="60" spans="2:8" x14ac:dyDescent="0.2">
      <c r="B60" s="5">
        <v>38455.796169425936</v>
      </c>
      <c r="C60">
        <v>58</v>
      </c>
      <c r="D60">
        <f t="shared" si="0"/>
        <v>2005</v>
      </c>
      <c r="E60">
        <f t="shared" si="1"/>
        <v>1</v>
      </c>
      <c r="F60">
        <f t="shared" si="2"/>
        <v>4</v>
      </c>
      <c r="G60" t="str">
        <f>VLOOKUP(F60,meses,2,FALSE)</f>
        <v>Abril</v>
      </c>
      <c r="H60" t="str">
        <f>VLOOKUP(F60,season,2,FALSE)</f>
        <v>Sping</v>
      </c>
    </row>
    <row r="61" spans="2:8" x14ac:dyDescent="0.2">
      <c r="B61" s="5">
        <v>38455.849240293079</v>
      </c>
      <c r="C61">
        <v>59</v>
      </c>
      <c r="D61">
        <f t="shared" si="0"/>
        <v>2005</v>
      </c>
      <c r="E61">
        <f t="shared" si="1"/>
        <v>1</v>
      </c>
      <c r="F61">
        <f t="shared" si="2"/>
        <v>4</v>
      </c>
      <c r="G61" t="str">
        <f>VLOOKUP(F61,meses,2,FALSE)</f>
        <v>Abril</v>
      </c>
      <c r="H61" t="str">
        <f>VLOOKUP(F61,season,2,FALSE)</f>
        <v>Sping</v>
      </c>
    </row>
    <row r="62" spans="2:8" x14ac:dyDescent="0.2">
      <c r="B62" s="5">
        <v>38456.360026124261</v>
      </c>
      <c r="C62">
        <v>60</v>
      </c>
      <c r="D62">
        <f t="shared" si="0"/>
        <v>2005</v>
      </c>
      <c r="E62">
        <f t="shared" si="1"/>
        <v>1</v>
      </c>
      <c r="F62">
        <f t="shared" si="2"/>
        <v>4</v>
      </c>
      <c r="G62" t="str">
        <f>VLOOKUP(F62,meses,2,FALSE)</f>
        <v>Abril</v>
      </c>
      <c r="H62" t="str">
        <f>VLOOKUP(F62,season,2,FALSE)</f>
        <v>Sping</v>
      </c>
    </row>
    <row r="63" spans="2:8" x14ac:dyDescent="0.2">
      <c r="B63" s="5">
        <v>38456.448092118102</v>
      </c>
      <c r="C63">
        <v>61</v>
      </c>
      <c r="D63">
        <f t="shared" si="0"/>
        <v>2005</v>
      </c>
      <c r="E63">
        <f t="shared" si="1"/>
        <v>1</v>
      </c>
      <c r="F63">
        <f t="shared" si="2"/>
        <v>4</v>
      </c>
      <c r="G63" t="str">
        <f>VLOOKUP(F63,meses,2,FALSE)</f>
        <v>Abril</v>
      </c>
      <c r="H63" t="str">
        <f>VLOOKUP(F63,season,2,FALSE)</f>
        <v>Sping</v>
      </c>
    </row>
    <row r="64" spans="2:8" x14ac:dyDescent="0.2">
      <c r="B64" s="5">
        <v>38456.637867283607</v>
      </c>
      <c r="C64">
        <v>62</v>
      </c>
      <c r="D64">
        <f t="shared" si="0"/>
        <v>2005</v>
      </c>
      <c r="E64">
        <f t="shared" si="1"/>
        <v>1</v>
      </c>
      <c r="F64">
        <f t="shared" si="2"/>
        <v>4</v>
      </c>
      <c r="G64" t="str">
        <f>VLOOKUP(F64,meses,2,FALSE)</f>
        <v>Abril</v>
      </c>
      <c r="H64" t="str">
        <f>VLOOKUP(F64,season,2,FALSE)</f>
        <v>Sping</v>
      </c>
    </row>
    <row r="65" spans="2:8" x14ac:dyDescent="0.2">
      <c r="B65" s="5">
        <v>38456.818680538738</v>
      </c>
      <c r="C65">
        <v>63</v>
      </c>
      <c r="D65">
        <f t="shared" si="0"/>
        <v>2005</v>
      </c>
      <c r="E65">
        <f t="shared" si="1"/>
        <v>1</v>
      </c>
      <c r="F65">
        <f t="shared" si="2"/>
        <v>4</v>
      </c>
      <c r="G65" t="str">
        <f>VLOOKUP(F65,meses,2,FALSE)</f>
        <v>Abril</v>
      </c>
      <c r="H65" t="str">
        <f>VLOOKUP(F65,season,2,FALSE)</f>
        <v>Sping</v>
      </c>
    </row>
    <row r="66" spans="2:8" x14ac:dyDescent="0.2">
      <c r="B66" s="5">
        <v>38457.104672375455</v>
      </c>
      <c r="C66">
        <v>64</v>
      </c>
      <c r="D66">
        <f t="shared" si="0"/>
        <v>2005</v>
      </c>
      <c r="E66">
        <f t="shared" si="1"/>
        <v>1</v>
      </c>
      <c r="F66">
        <f t="shared" si="2"/>
        <v>4</v>
      </c>
      <c r="G66" t="str">
        <f>VLOOKUP(F66,meses,2,FALSE)</f>
        <v>Abril</v>
      </c>
      <c r="H66" t="str">
        <f>VLOOKUP(F66,season,2,FALSE)</f>
        <v>Sping</v>
      </c>
    </row>
    <row r="67" spans="2:8" x14ac:dyDescent="0.2">
      <c r="B67" s="5">
        <v>38457.642464196288</v>
      </c>
      <c r="C67">
        <v>65</v>
      </c>
      <c r="D67">
        <f t="shared" si="0"/>
        <v>2005</v>
      </c>
      <c r="E67">
        <f t="shared" si="1"/>
        <v>1</v>
      </c>
      <c r="F67">
        <f t="shared" si="2"/>
        <v>4</v>
      </c>
      <c r="G67" t="str">
        <f>VLOOKUP(F67,meses,2,FALSE)</f>
        <v>Abril</v>
      </c>
      <c r="H67" t="str">
        <f>VLOOKUP(F67,season,2,FALSE)</f>
        <v>Sping</v>
      </c>
    </row>
    <row r="68" spans="2:8" x14ac:dyDescent="0.2">
      <c r="B68" s="5">
        <v>38457.813629117758</v>
      </c>
      <c r="C68">
        <v>66</v>
      </c>
      <c r="D68">
        <f t="shared" ref="D68:D131" si="3">YEAR(B68)</f>
        <v>2005</v>
      </c>
      <c r="E68">
        <f t="shared" ref="E68:E131" si="4">IF(F68&lt;7,1,2)</f>
        <v>1</v>
      </c>
      <c r="F68">
        <f t="shared" ref="F68:F131" si="5">MONTH(B68)</f>
        <v>4</v>
      </c>
      <c r="G68" t="str">
        <f>VLOOKUP(F68,meses,2,FALSE)</f>
        <v>Abril</v>
      </c>
      <c r="H68" t="str">
        <f>VLOOKUP(F68,season,2,FALSE)</f>
        <v>Sping</v>
      </c>
    </row>
    <row r="69" spans="2:8" x14ac:dyDescent="0.2">
      <c r="B69" s="5">
        <v>38458.92498304139</v>
      </c>
      <c r="C69">
        <v>67</v>
      </c>
      <c r="D69">
        <f t="shared" si="3"/>
        <v>2005</v>
      </c>
      <c r="E69">
        <f t="shared" si="4"/>
        <v>1</v>
      </c>
      <c r="F69">
        <f t="shared" si="5"/>
        <v>4</v>
      </c>
      <c r="G69" t="str">
        <f>VLOOKUP(F69,meses,2,FALSE)</f>
        <v>Abril</v>
      </c>
      <c r="H69" t="str">
        <f>VLOOKUP(F69,season,2,FALSE)</f>
        <v>Sping</v>
      </c>
    </row>
    <row r="70" spans="2:8" x14ac:dyDescent="0.2">
      <c r="B70" s="5">
        <v>38458.96712754928</v>
      </c>
      <c r="C70">
        <v>68</v>
      </c>
      <c r="D70">
        <f t="shared" si="3"/>
        <v>2005</v>
      </c>
      <c r="E70">
        <f t="shared" si="4"/>
        <v>1</v>
      </c>
      <c r="F70">
        <f t="shared" si="5"/>
        <v>4</v>
      </c>
      <c r="G70" t="str">
        <f>VLOOKUP(F70,meses,2,FALSE)</f>
        <v>Abril</v>
      </c>
      <c r="H70" t="str">
        <f>VLOOKUP(F70,season,2,FALSE)</f>
        <v>Sping</v>
      </c>
    </row>
    <row r="71" spans="2:8" x14ac:dyDescent="0.2">
      <c r="B71" s="5">
        <v>38459.460679112373</v>
      </c>
      <c r="C71">
        <v>69</v>
      </c>
      <c r="D71">
        <f t="shared" si="3"/>
        <v>2005</v>
      </c>
      <c r="E71">
        <f t="shared" si="4"/>
        <v>1</v>
      </c>
      <c r="F71">
        <f t="shared" si="5"/>
        <v>4</v>
      </c>
      <c r="G71" t="str">
        <f>VLOOKUP(F71,meses,2,FALSE)</f>
        <v>Abril</v>
      </c>
      <c r="H71" t="str">
        <f>VLOOKUP(F71,season,2,FALSE)</f>
        <v>Sping</v>
      </c>
    </row>
    <row r="72" spans="2:8" x14ac:dyDescent="0.2">
      <c r="B72" s="5">
        <v>38459.684477900068</v>
      </c>
      <c r="C72">
        <v>70</v>
      </c>
      <c r="D72">
        <f t="shared" si="3"/>
        <v>2005</v>
      </c>
      <c r="E72">
        <f t="shared" si="4"/>
        <v>1</v>
      </c>
      <c r="F72">
        <f t="shared" si="5"/>
        <v>4</v>
      </c>
      <c r="G72" t="str">
        <f>VLOOKUP(F72,meses,2,FALSE)</f>
        <v>Abril</v>
      </c>
      <c r="H72" t="str">
        <f>VLOOKUP(F72,season,2,FALSE)</f>
        <v>Sping</v>
      </c>
    </row>
    <row r="73" spans="2:8" x14ac:dyDescent="0.2">
      <c r="B73" s="5">
        <v>38459.836643890783</v>
      </c>
      <c r="C73">
        <v>71</v>
      </c>
      <c r="D73">
        <f t="shared" si="3"/>
        <v>2005</v>
      </c>
      <c r="E73">
        <f t="shared" si="4"/>
        <v>1</v>
      </c>
      <c r="F73">
        <f t="shared" si="5"/>
        <v>4</v>
      </c>
      <c r="G73" t="str">
        <f>VLOOKUP(F73,meses,2,FALSE)</f>
        <v>Abril</v>
      </c>
      <c r="H73" t="str">
        <f>VLOOKUP(F73,season,2,FALSE)</f>
        <v>Sping</v>
      </c>
    </row>
    <row r="74" spans="2:8" x14ac:dyDescent="0.2">
      <c r="B74" s="5">
        <v>38460.06335496933</v>
      </c>
      <c r="C74">
        <v>72</v>
      </c>
      <c r="D74">
        <f t="shared" si="3"/>
        <v>2005</v>
      </c>
      <c r="E74">
        <f t="shared" si="4"/>
        <v>1</v>
      </c>
      <c r="F74">
        <f t="shared" si="5"/>
        <v>4</v>
      </c>
      <c r="G74" t="str">
        <f>VLOOKUP(F74,meses,2,FALSE)</f>
        <v>Abril</v>
      </c>
      <c r="H74" t="str">
        <f>VLOOKUP(F74,season,2,FALSE)</f>
        <v>Sping</v>
      </c>
    </row>
    <row r="75" spans="2:8" x14ac:dyDescent="0.2">
      <c r="B75" s="5">
        <v>38461.017295312966</v>
      </c>
      <c r="C75">
        <v>73</v>
      </c>
      <c r="D75">
        <f t="shared" si="3"/>
        <v>2005</v>
      </c>
      <c r="E75">
        <f t="shared" si="4"/>
        <v>1</v>
      </c>
      <c r="F75">
        <f t="shared" si="5"/>
        <v>4</v>
      </c>
      <c r="G75" t="str">
        <f>VLOOKUP(F75,meses,2,FALSE)</f>
        <v>Abril</v>
      </c>
      <c r="H75" t="str">
        <f>VLOOKUP(F75,season,2,FALSE)</f>
        <v>Sping</v>
      </c>
    </row>
    <row r="76" spans="2:8" x14ac:dyDescent="0.2">
      <c r="B76" s="5">
        <v>38461.045290701331</v>
      </c>
      <c r="C76">
        <v>74</v>
      </c>
      <c r="D76">
        <f t="shared" si="3"/>
        <v>2005</v>
      </c>
      <c r="E76">
        <f t="shared" si="4"/>
        <v>1</v>
      </c>
      <c r="F76">
        <f t="shared" si="5"/>
        <v>4</v>
      </c>
      <c r="G76" t="str">
        <f>VLOOKUP(F76,meses,2,FALSE)</f>
        <v>Abril</v>
      </c>
      <c r="H76" t="str">
        <f>VLOOKUP(F76,season,2,FALSE)</f>
        <v>Sping</v>
      </c>
    </row>
    <row r="77" spans="2:8" x14ac:dyDescent="0.2">
      <c r="B77" s="5">
        <v>38461.238211467942</v>
      </c>
      <c r="C77">
        <v>75</v>
      </c>
      <c r="D77">
        <f t="shared" si="3"/>
        <v>2005</v>
      </c>
      <c r="E77">
        <f t="shared" si="4"/>
        <v>1</v>
      </c>
      <c r="F77">
        <f t="shared" si="5"/>
        <v>4</v>
      </c>
      <c r="G77" t="str">
        <f>VLOOKUP(F77,meses,2,FALSE)</f>
        <v>Abril</v>
      </c>
      <c r="H77" t="str">
        <f>VLOOKUP(F77,season,2,FALSE)</f>
        <v>Sping</v>
      </c>
    </row>
    <row r="78" spans="2:8" x14ac:dyDescent="0.2">
      <c r="B78" s="5">
        <v>38461.583673806999</v>
      </c>
      <c r="C78">
        <v>76</v>
      </c>
      <c r="D78">
        <f t="shared" si="3"/>
        <v>2005</v>
      </c>
      <c r="E78">
        <f t="shared" si="4"/>
        <v>1</v>
      </c>
      <c r="F78">
        <f t="shared" si="5"/>
        <v>4</v>
      </c>
      <c r="G78" t="str">
        <f>VLOOKUP(F78,meses,2,FALSE)</f>
        <v>Abril</v>
      </c>
      <c r="H78" t="str">
        <f>VLOOKUP(F78,season,2,FALSE)</f>
        <v>Sping</v>
      </c>
    </row>
    <row r="79" spans="2:8" x14ac:dyDescent="0.2">
      <c r="B79" s="5">
        <v>38461.680381568105</v>
      </c>
      <c r="C79">
        <v>77</v>
      </c>
      <c r="D79">
        <f t="shared" si="3"/>
        <v>2005</v>
      </c>
      <c r="E79">
        <f t="shared" si="4"/>
        <v>1</v>
      </c>
      <c r="F79">
        <f t="shared" si="5"/>
        <v>4</v>
      </c>
      <c r="G79" t="str">
        <f>VLOOKUP(F79,meses,2,FALSE)</f>
        <v>Abril</v>
      </c>
      <c r="H79" t="str">
        <f>VLOOKUP(F79,season,2,FALSE)</f>
        <v>Sping</v>
      </c>
    </row>
    <row r="80" spans="2:8" x14ac:dyDescent="0.2">
      <c r="B80" s="5">
        <v>38462.352063320548</v>
      </c>
      <c r="C80">
        <v>78</v>
      </c>
      <c r="D80">
        <f t="shared" si="3"/>
        <v>2005</v>
      </c>
      <c r="E80">
        <f t="shared" si="4"/>
        <v>1</v>
      </c>
      <c r="F80">
        <f t="shared" si="5"/>
        <v>4</v>
      </c>
      <c r="G80" t="str">
        <f>VLOOKUP(F80,meses,2,FALSE)</f>
        <v>Abril</v>
      </c>
      <c r="H80" t="str">
        <f>VLOOKUP(F80,season,2,FALSE)</f>
        <v>Sping</v>
      </c>
    </row>
    <row r="81" spans="2:8" x14ac:dyDescent="0.2">
      <c r="B81" s="5">
        <v>38462.413214898712</v>
      </c>
      <c r="C81">
        <v>79</v>
      </c>
      <c r="D81">
        <f t="shared" si="3"/>
        <v>2005</v>
      </c>
      <c r="E81">
        <f t="shared" si="4"/>
        <v>1</v>
      </c>
      <c r="F81">
        <f t="shared" si="5"/>
        <v>4</v>
      </c>
      <c r="G81" t="str">
        <f>VLOOKUP(F81,meses,2,FALSE)</f>
        <v>Abril</v>
      </c>
      <c r="H81" t="str">
        <f>VLOOKUP(F81,season,2,FALSE)</f>
        <v>Sping</v>
      </c>
    </row>
    <row r="82" spans="2:8" x14ac:dyDescent="0.2">
      <c r="B82" s="5">
        <v>38462.711360584886</v>
      </c>
      <c r="C82">
        <v>80</v>
      </c>
      <c r="D82">
        <f t="shared" si="3"/>
        <v>2005</v>
      </c>
      <c r="E82">
        <f t="shared" si="4"/>
        <v>1</v>
      </c>
      <c r="F82">
        <f t="shared" si="5"/>
        <v>4</v>
      </c>
      <c r="G82" t="str">
        <f>VLOOKUP(F82,meses,2,FALSE)</f>
        <v>Abril</v>
      </c>
      <c r="H82" t="str">
        <f>VLOOKUP(F82,season,2,FALSE)</f>
        <v>Sping</v>
      </c>
    </row>
    <row r="83" spans="2:8" x14ac:dyDescent="0.2">
      <c r="B83" s="5">
        <v>38463.129400394471</v>
      </c>
      <c r="C83">
        <v>81</v>
      </c>
      <c r="D83">
        <f t="shared" si="3"/>
        <v>2005</v>
      </c>
      <c r="E83">
        <f t="shared" si="4"/>
        <v>1</v>
      </c>
      <c r="F83">
        <f t="shared" si="5"/>
        <v>4</v>
      </c>
      <c r="G83" t="str">
        <f>VLOOKUP(F83,meses,2,FALSE)</f>
        <v>Abril</v>
      </c>
      <c r="H83" t="str">
        <f>VLOOKUP(F83,season,2,FALSE)</f>
        <v>Sping</v>
      </c>
    </row>
    <row r="84" spans="2:8" x14ac:dyDescent="0.2">
      <c r="B84" s="5">
        <v>38463.159340965103</v>
      </c>
      <c r="C84">
        <v>82</v>
      </c>
      <c r="D84">
        <f t="shared" si="3"/>
        <v>2005</v>
      </c>
      <c r="E84">
        <f t="shared" si="4"/>
        <v>1</v>
      </c>
      <c r="F84">
        <f t="shared" si="5"/>
        <v>4</v>
      </c>
      <c r="G84" t="str">
        <f>VLOOKUP(F84,meses,2,FALSE)</f>
        <v>Abril</v>
      </c>
      <c r="H84" t="str">
        <f>VLOOKUP(F84,season,2,FALSE)</f>
        <v>Sping</v>
      </c>
    </row>
    <row r="85" spans="2:8" x14ac:dyDescent="0.2">
      <c r="B85" s="5">
        <v>38463.319813250149</v>
      </c>
      <c r="C85">
        <v>83</v>
      </c>
      <c r="D85">
        <f t="shared" si="3"/>
        <v>2005</v>
      </c>
      <c r="E85">
        <f t="shared" si="4"/>
        <v>1</v>
      </c>
      <c r="F85">
        <f t="shared" si="5"/>
        <v>4</v>
      </c>
      <c r="G85" t="str">
        <f>VLOOKUP(F85,meses,2,FALSE)</f>
        <v>Abril</v>
      </c>
      <c r="H85" t="str">
        <f>VLOOKUP(F85,season,2,FALSE)</f>
        <v>Sping</v>
      </c>
    </row>
    <row r="86" spans="2:8" x14ac:dyDescent="0.2">
      <c r="B86" s="5">
        <v>38463.835817390674</v>
      </c>
      <c r="C86">
        <v>84</v>
      </c>
      <c r="D86">
        <f t="shared" si="3"/>
        <v>2005</v>
      </c>
      <c r="E86">
        <f t="shared" si="4"/>
        <v>1</v>
      </c>
      <c r="F86">
        <f t="shared" si="5"/>
        <v>4</v>
      </c>
      <c r="G86" t="str">
        <f>VLOOKUP(F86,meses,2,FALSE)</f>
        <v>Abril</v>
      </c>
      <c r="H86" t="str">
        <f>VLOOKUP(F86,season,2,FALSE)</f>
        <v>Sping</v>
      </c>
    </row>
    <row r="87" spans="2:8" x14ac:dyDescent="0.2">
      <c r="B87" s="5">
        <v>38464.014275481975</v>
      </c>
      <c r="C87">
        <v>85</v>
      </c>
      <c r="D87">
        <f t="shared" si="3"/>
        <v>2005</v>
      </c>
      <c r="E87">
        <f t="shared" si="4"/>
        <v>1</v>
      </c>
      <c r="F87">
        <f t="shared" si="5"/>
        <v>4</v>
      </c>
      <c r="G87" t="str">
        <f>VLOOKUP(F87,meses,2,FALSE)</f>
        <v>Abril</v>
      </c>
      <c r="H87" t="str">
        <f>VLOOKUP(F87,season,2,FALSE)</f>
        <v>Sping</v>
      </c>
    </row>
    <row r="88" spans="2:8" x14ac:dyDescent="0.2">
      <c r="B88" s="5">
        <v>38464.191090280423</v>
      </c>
      <c r="C88">
        <v>86</v>
      </c>
      <c r="D88">
        <f t="shared" si="3"/>
        <v>2005</v>
      </c>
      <c r="E88">
        <f t="shared" si="4"/>
        <v>1</v>
      </c>
      <c r="F88">
        <f t="shared" si="5"/>
        <v>4</v>
      </c>
      <c r="G88" t="str">
        <f>VLOOKUP(F88,meses,2,FALSE)</f>
        <v>Abril</v>
      </c>
      <c r="H88" t="str">
        <f>VLOOKUP(F88,season,2,FALSE)</f>
        <v>Sping</v>
      </c>
    </row>
    <row r="89" spans="2:8" x14ac:dyDescent="0.2">
      <c r="B89" s="5">
        <v>38464.608830819656</v>
      </c>
      <c r="C89">
        <v>87</v>
      </c>
      <c r="D89">
        <f t="shared" si="3"/>
        <v>2005</v>
      </c>
      <c r="E89">
        <f t="shared" si="4"/>
        <v>1</v>
      </c>
      <c r="F89">
        <f t="shared" si="5"/>
        <v>4</v>
      </c>
      <c r="G89" t="str">
        <f>VLOOKUP(F89,meses,2,FALSE)</f>
        <v>Abril</v>
      </c>
      <c r="H89" t="str">
        <f>VLOOKUP(F89,season,2,FALSE)</f>
        <v>Sping</v>
      </c>
    </row>
    <row r="90" spans="2:8" x14ac:dyDescent="0.2">
      <c r="B90" s="5">
        <v>38464.789142804395</v>
      </c>
      <c r="C90">
        <v>88</v>
      </c>
      <c r="D90">
        <f t="shared" si="3"/>
        <v>2005</v>
      </c>
      <c r="E90">
        <f t="shared" si="4"/>
        <v>1</v>
      </c>
      <c r="F90">
        <f t="shared" si="5"/>
        <v>4</v>
      </c>
      <c r="G90" t="str">
        <f>VLOOKUP(F90,meses,2,FALSE)</f>
        <v>Abril</v>
      </c>
      <c r="H90" t="str">
        <f>VLOOKUP(F90,season,2,FALSE)</f>
        <v>Sping</v>
      </c>
    </row>
    <row r="91" spans="2:8" x14ac:dyDescent="0.2">
      <c r="B91" s="5">
        <v>38465.224519692187</v>
      </c>
      <c r="C91">
        <v>89</v>
      </c>
      <c r="D91">
        <f t="shared" si="3"/>
        <v>2005</v>
      </c>
      <c r="E91">
        <f t="shared" si="4"/>
        <v>1</v>
      </c>
      <c r="F91">
        <f t="shared" si="5"/>
        <v>4</v>
      </c>
      <c r="G91" t="str">
        <f>VLOOKUP(F91,meses,2,FALSE)</f>
        <v>Abril</v>
      </c>
      <c r="H91" t="str">
        <f>VLOOKUP(F91,season,2,FALSE)</f>
        <v>Sping</v>
      </c>
    </row>
    <row r="92" spans="2:8" x14ac:dyDescent="0.2">
      <c r="B92" s="5">
        <v>38465.428697474556</v>
      </c>
      <c r="C92">
        <v>90</v>
      </c>
      <c r="D92">
        <f t="shared" si="3"/>
        <v>2005</v>
      </c>
      <c r="E92">
        <f t="shared" si="4"/>
        <v>1</v>
      </c>
      <c r="F92">
        <f t="shared" si="5"/>
        <v>4</v>
      </c>
      <c r="G92" t="str">
        <f>VLOOKUP(F92,meses,2,FALSE)</f>
        <v>Abril</v>
      </c>
      <c r="H92" t="str">
        <f>VLOOKUP(F92,season,2,FALSE)</f>
        <v>Sping</v>
      </c>
    </row>
    <row r="93" spans="2:8" x14ac:dyDescent="0.2">
      <c r="B93" s="5">
        <v>38465.887519978787</v>
      </c>
      <c r="C93">
        <v>91</v>
      </c>
      <c r="D93">
        <f t="shared" si="3"/>
        <v>2005</v>
      </c>
      <c r="E93">
        <f t="shared" si="4"/>
        <v>1</v>
      </c>
      <c r="F93">
        <f t="shared" si="5"/>
        <v>4</v>
      </c>
      <c r="G93" t="str">
        <f>VLOOKUP(F93,meses,2,FALSE)</f>
        <v>Abril</v>
      </c>
      <c r="H93" t="str">
        <f>VLOOKUP(F93,season,2,FALSE)</f>
        <v>Sping</v>
      </c>
    </row>
    <row r="94" spans="2:8" x14ac:dyDescent="0.2">
      <c r="B94" s="5">
        <v>38465.975864976594</v>
      </c>
      <c r="C94">
        <v>92</v>
      </c>
      <c r="D94">
        <f t="shared" si="3"/>
        <v>2005</v>
      </c>
      <c r="E94">
        <f t="shared" si="4"/>
        <v>1</v>
      </c>
      <c r="F94">
        <f t="shared" si="5"/>
        <v>4</v>
      </c>
      <c r="G94" t="str">
        <f>VLOOKUP(F94,meses,2,FALSE)</f>
        <v>Abril</v>
      </c>
      <c r="H94" t="str">
        <f>VLOOKUP(F94,season,2,FALSE)</f>
        <v>Sping</v>
      </c>
    </row>
    <row r="95" spans="2:8" x14ac:dyDescent="0.2">
      <c r="B95" s="5">
        <v>38466.119198199711</v>
      </c>
      <c r="C95">
        <v>93</v>
      </c>
      <c r="D95">
        <f t="shared" si="3"/>
        <v>2005</v>
      </c>
      <c r="E95">
        <f t="shared" si="4"/>
        <v>1</v>
      </c>
      <c r="F95">
        <f t="shared" si="5"/>
        <v>4</v>
      </c>
      <c r="G95" t="str">
        <f>VLOOKUP(F95,meses,2,FALSE)</f>
        <v>Abril</v>
      </c>
      <c r="H95" t="str">
        <f>VLOOKUP(F95,season,2,FALSE)</f>
        <v>Sping</v>
      </c>
    </row>
    <row r="96" spans="2:8" x14ac:dyDescent="0.2">
      <c r="B96" s="5">
        <v>38466.56749600359</v>
      </c>
      <c r="C96">
        <v>94</v>
      </c>
      <c r="D96">
        <f t="shared" si="3"/>
        <v>2005</v>
      </c>
      <c r="E96">
        <f t="shared" si="4"/>
        <v>1</v>
      </c>
      <c r="F96">
        <f t="shared" si="5"/>
        <v>4</v>
      </c>
      <c r="G96" t="str">
        <f>VLOOKUP(F96,meses,2,FALSE)</f>
        <v>Abril</v>
      </c>
      <c r="H96" t="str">
        <f>VLOOKUP(F96,season,2,FALSE)</f>
        <v>Sping</v>
      </c>
    </row>
    <row r="97" spans="2:8" x14ac:dyDescent="0.2">
      <c r="B97" s="5">
        <v>38466.725465985262</v>
      </c>
      <c r="C97">
        <v>95</v>
      </c>
      <c r="D97">
        <f t="shared" si="3"/>
        <v>2005</v>
      </c>
      <c r="E97">
        <f t="shared" si="4"/>
        <v>1</v>
      </c>
      <c r="F97">
        <f t="shared" si="5"/>
        <v>4</v>
      </c>
      <c r="G97" t="str">
        <f>VLOOKUP(F97,meses,2,FALSE)</f>
        <v>Abril</v>
      </c>
      <c r="H97" t="str">
        <f>VLOOKUP(F97,season,2,FALSE)</f>
        <v>Sping</v>
      </c>
    </row>
    <row r="98" spans="2:8" x14ac:dyDescent="0.2">
      <c r="B98" s="5">
        <v>38467.266667137825</v>
      </c>
      <c r="C98">
        <v>96</v>
      </c>
      <c r="D98">
        <f t="shared" si="3"/>
        <v>2005</v>
      </c>
      <c r="E98">
        <f t="shared" si="4"/>
        <v>1</v>
      </c>
      <c r="F98">
        <f t="shared" si="5"/>
        <v>4</v>
      </c>
      <c r="G98" t="str">
        <f>VLOOKUP(F98,meses,2,FALSE)</f>
        <v>Abril</v>
      </c>
      <c r="H98" t="str">
        <f>VLOOKUP(F98,season,2,FALSE)</f>
        <v>Sping</v>
      </c>
    </row>
    <row r="99" spans="2:8" x14ac:dyDescent="0.2">
      <c r="B99" s="5">
        <v>38467.558501326203</v>
      </c>
      <c r="C99">
        <v>97</v>
      </c>
      <c r="D99">
        <f t="shared" si="3"/>
        <v>2005</v>
      </c>
      <c r="E99">
        <f t="shared" si="4"/>
        <v>1</v>
      </c>
      <c r="F99">
        <f t="shared" si="5"/>
        <v>4</v>
      </c>
      <c r="G99" t="str">
        <f>VLOOKUP(F99,meses,2,FALSE)</f>
        <v>Abril</v>
      </c>
      <c r="H99" t="str">
        <f>VLOOKUP(F99,season,2,FALSE)</f>
        <v>Sping</v>
      </c>
    </row>
    <row r="100" spans="2:8" x14ac:dyDescent="0.2">
      <c r="B100" s="5">
        <v>38467.801192101382</v>
      </c>
      <c r="C100">
        <v>98</v>
      </c>
      <c r="D100">
        <f t="shared" si="3"/>
        <v>2005</v>
      </c>
      <c r="E100">
        <f t="shared" si="4"/>
        <v>1</v>
      </c>
      <c r="F100">
        <f t="shared" si="5"/>
        <v>4</v>
      </c>
      <c r="G100" t="str">
        <f>VLOOKUP(F100,meses,2,FALSE)</f>
        <v>Abril</v>
      </c>
      <c r="H100" t="str">
        <f>VLOOKUP(F100,season,2,FALSE)</f>
        <v>Sping</v>
      </c>
    </row>
    <row r="101" spans="2:8" x14ac:dyDescent="0.2">
      <c r="B101" s="5">
        <v>38468.243602428724</v>
      </c>
      <c r="C101">
        <v>99</v>
      </c>
      <c r="D101">
        <f t="shared" si="3"/>
        <v>2005</v>
      </c>
      <c r="E101">
        <f t="shared" si="4"/>
        <v>1</v>
      </c>
      <c r="F101">
        <f t="shared" si="5"/>
        <v>4</v>
      </c>
      <c r="G101" t="str">
        <f>VLOOKUP(F101,meses,2,FALSE)</f>
        <v>Abril</v>
      </c>
      <c r="H101" t="str">
        <f>VLOOKUP(F101,season,2,FALSE)</f>
        <v>Sping</v>
      </c>
    </row>
    <row r="102" spans="2:8" x14ac:dyDescent="0.2">
      <c r="B102" s="5">
        <v>38468.410224597807</v>
      </c>
      <c r="C102">
        <v>100</v>
      </c>
      <c r="D102">
        <f t="shared" si="3"/>
        <v>2005</v>
      </c>
      <c r="E102">
        <f t="shared" si="4"/>
        <v>1</v>
      </c>
      <c r="F102">
        <f t="shared" si="5"/>
        <v>4</v>
      </c>
      <c r="G102" t="str">
        <f>VLOOKUP(F102,meses,2,FALSE)</f>
        <v>Abril</v>
      </c>
      <c r="H102" t="str">
        <f>VLOOKUP(F102,season,2,FALSE)</f>
        <v>Sping</v>
      </c>
    </row>
    <row r="103" spans="2:8" x14ac:dyDescent="0.2">
      <c r="B103" s="5">
        <v>38468.902975448953</v>
      </c>
      <c r="C103">
        <v>101</v>
      </c>
      <c r="D103">
        <f t="shared" si="3"/>
        <v>2005</v>
      </c>
      <c r="E103">
        <f t="shared" si="4"/>
        <v>1</v>
      </c>
      <c r="F103">
        <f t="shared" si="5"/>
        <v>4</v>
      </c>
      <c r="G103" t="str">
        <f>VLOOKUP(F103,meses,2,FALSE)</f>
        <v>Abril</v>
      </c>
      <c r="H103" t="str">
        <f>VLOOKUP(F103,season,2,FALSE)</f>
        <v>Sping</v>
      </c>
    </row>
    <row r="104" spans="2:8" x14ac:dyDescent="0.2">
      <c r="B104" s="5">
        <v>38468.927348434685</v>
      </c>
      <c r="C104">
        <v>102</v>
      </c>
      <c r="D104">
        <f t="shared" si="3"/>
        <v>2005</v>
      </c>
      <c r="E104">
        <f t="shared" si="4"/>
        <v>1</v>
      </c>
      <c r="F104">
        <f t="shared" si="5"/>
        <v>4</v>
      </c>
      <c r="G104" t="str">
        <f>VLOOKUP(F104,meses,2,FALSE)</f>
        <v>Abril</v>
      </c>
      <c r="H104" t="str">
        <f>VLOOKUP(F104,season,2,FALSE)</f>
        <v>Sping</v>
      </c>
    </row>
    <row r="105" spans="2:8" x14ac:dyDescent="0.2">
      <c r="B105" s="5">
        <v>38469.069535271912</v>
      </c>
      <c r="C105">
        <v>103</v>
      </c>
      <c r="D105">
        <f t="shared" si="3"/>
        <v>2005</v>
      </c>
      <c r="E105">
        <f t="shared" si="4"/>
        <v>1</v>
      </c>
      <c r="F105">
        <f t="shared" si="5"/>
        <v>4</v>
      </c>
      <c r="G105" t="str">
        <f>VLOOKUP(F105,meses,2,FALSE)</f>
        <v>Abril</v>
      </c>
      <c r="H105" t="str">
        <f>VLOOKUP(F105,season,2,FALSE)</f>
        <v>Sping</v>
      </c>
    </row>
    <row r="106" spans="2:8" x14ac:dyDescent="0.2">
      <c r="B106" s="5">
        <v>38469.319980600965</v>
      </c>
      <c r="C106">
        <v>104</v>
      </c>
      <c r="D106">
        <f t="shared" si="3"/>
        <v>2005</v>
      </c>
      <c r="E106">
        <f t="shared" si="4"/>
        <v>1</v>
      </c>
      <c r="F106">
        <f t="shared" si="5"/>
        <v>4</v>
      </c>
      <c r="G106" t="str">
        <f>VLOOKUP(F106,meses,2,FALSE)</f>
        <v>Abril</v>
      </c>
      <c r="H106" t="str">
        <f>VLOOKUP(F106,season,2,FALSE)</f>
        <v>Sping</v>
      </c>
    </row>
    <row r="107" spans="2:8" x14ac:dyDescent="0.2">
      <c r="B107" s="5">
        <v>38469.664696216343</v>
      </c>
      <c r="C107">
        <v>105</v>
      </c>
      <c r="D107">
        <f t="shared" si="3"/>
        <v>2005</v>
      </c>
      <c r="E107">
        <f t="shared" si="4"/>
        <v>1</v>
      </c>
      <c r="F107">
        <f t="shared" si="5"/>
        <v>4</v>
      </c>
      <c r="G107" t="str">
        <f>VLOOKUP(F107,meses,2,FALSE)</f>
        <v>Abril</v>
      </c>
      <c r="H107" t="str">
        <f>VLOOKUP(F107,season,2,FALSE)</f>
        <v>Sping</v>
      </c>
    </row>
    <row r="108" spans="2:8" x14ac:dyDescent="0.2">
      <c r="B108" s="5">
        <v>38470.007420889895</v>
      </c>
      <c r="C108">
        <v>106</v>
      </c>
      <c r="D108">
        <f t="shared" si="3"/>
        <v>2005</v>
      </c>
      <c r="E108">
        <f t="shared" si="4"/>
        <v>1</v>
      </c>
      <c r="F108">
        <f t="shared" si="5"/>
        <v>4</v>
      </c>
      <c r="G108" t="str">
        <f>VLOOKUP(F108,meses,2,FALSE)</f>
        <v>Abril</v>
      </c>
      <c r="H108" t="str">
        <f>VLOOKUP(F108,season,2,FALSE)</f>
        <v>Sping</v>
      </c>
    </row>
    <row r="109" spans="2:8" x14ac:dyDescent="0.2">
      <c r="B109" s="5">
        <v>38470.301361717342</v>
      </c>
      <c r="C109">
        <v>107</v>
      </c>
      <c r="D109">
        <f t="shared" si="3"/>
        <v>2005</v>
      </c>
      <c r="E109">
        <f t="shared" si="4"/>
        <v>1</v>
      </c>
      <c r="F109">
        <f t="shared" si="5"/>
        <v>4</v>
      </c>
      <c r="G109" t="str">
        <f>VLOOKUP(F109,meses,2,FALSE)</f>
        <v>Abril</v>
      </c>
      <c r="H109" t="str">
        <f>VLOOKUP(F109,season,2,FALSE)</f>
        <v>Sping</v>
      </c>
    </row>
    <row r="110" spans="2:8" x14ac:dyDescent="0.2">
      <c r="B110" s="5">
        <v>38470.45182493695</v>
      </c>
      <c r="C110">
        <v>108</v>
      </c>
      <c r="D110">
        <f t="shared" si="3"/>
        <v>2005</v>
      </c>
      <c r="E110">
        <f t="shared" si="4"/>
        <v>1</v>
      </c>
      <c r="F110">
        <f t="shared" si="5"/>
        <v>4</v>
      </c>
      <c r="G110" t="str">
        <f>VLOOKUP(F110,meses,2,FALSE)</f>
        <v>Abril</v>
      </c>
      <c r="H110" t="str">
        <f>VLOOKUP(F110,season,2,FALSE)</f>
        <v>Sping</v>
      </c>
    </row>
    <row r="111" spans="2:8" x14ac:dyDescent="0.2">
      <c r="B111" s="5">
        <v>38470.886619232791</v>
      </c>
      <c r="C111">
        <v>109</v>
      </c>
      <c r="D111">
        <f t="shared" si="3"/>
        <v>2005</v>
      </c>
      <c r="E111">
        <f t="shared" si="4"/>
        <v>1</v>
      </c>
      <c r="F111">
        <f t="shared" si="5"/>
        <v>4</v>
      </c>
      <c r="G111" t="str">
        <f>VLOOKUP(F111,meses,2,FALSE)</f>
        <v>Abril</v>
      </c>
      <c r="H111" t="str">
        <f>VLOOKUP(F111,season,2,FALSE)</f>
        <v>Sping</v>
      </c>
    </row>
    <row r="112" spans="2:8" x14ac:dyDescent="0.2">
      <c r="B112" s="5">
        <v>38470.898064159257</v>
      </c>
      <c r="C112">
        <v>110</v>
      </c>
      <c r="D112">
        <f t="shared" si="3"/>
        <v>2005</v>
      </c>
      <c r="E112">
        <f t="shared" si="4"/>
        <v>1</v>
      </c>
      <c r="F112">
        <f t="shared" si="5"/>
        <v>4</v>
      </c>
      <c r="G112" t="str">
        <f>VLOOKUP(F112,meses,2,FALSE)</f>
        <v>Abril</v>
      </c>
      <c r="H112" t="str">
        <f>VLOOKUP(F112,season,2,FALSE)</f>
        <v>Sping</v>
      </c>
    </row>
    <row r="113" spans="2:8" x14ac:dyDescent="0.2">
      <c r="B113" s="5">
        <v>38470.979298391117</v>
      </c>
      <c r="C113">
        <v>111</v>
      </c>
      <c r="D113">
        <f t="shared" si="3"/>
        <v>2005</v>
      </c>
      <c r="E113">
        <f t="shared" si="4"/>
        <v>1</v>
      </c>
      <c r="F113">
        <f t="shared" si="5"/>
        <v>4</v>
      </c>
      <c r="G113" t="str">
        <f>VLOOKUP(F113,meses,2,FALSE)</f>
        <v>Abril</v>
      </c>
      <c r="H113" t="str">
        <f>VLOOKUP(F113,season,2,FALSE)</f>
        <v>Sping</v>
      </c>
    </row>
    <row r="114" spans="2:8" x14ac:dyDescent="0.2">
      <c r="B114" s="5">
        <v>38471.157995618254</v>
      </c>
      <c r="C114">
        <v>112</v>
      </c>
      <c r="D114">
        <f t="shared" si="3"/>
        <v>2005</v>
      </c>
      <c r="E114">
        <f t="shared" si="4"/>
        <v>1</v>
      </c>
      <c r="F114">
        <f t="shared" si="5"/>
        <v>4</v>
      </c>
      <c r="G114" t="str">
        <f>VLOOKUP(F114,meses,2,FALSE)</f>
        <v>Abril</v>
      </c>
      <c r="H114" t="str">
        <f>VLOOKUP(F114,season,2,FALSE)</f>
        <v>Sping</v>
      </c>
    </row>
    <row r="115" spans="2:8" x14ac:dyDescent="0.2">
      <c r="B115" s="5">
        <v>38471.583454599044</v>
      </c>
      <c r="C115">
        <v>113</v>
      </c>
      <c r="D115">
        <f t="shared" si="3"/>
        <v>2005</v>
      </c>
      <c r="E115">
        <f t="shared" si="4"/>
        <v>1</v>
      </c>
      <c r="F115">
        <f t="shared" si="5"/>
        <v>4</v>
      </c>
      <c r="G115" t="str">
        <f>VLOOKUP(F115,meses,2,FALSE)</f>
        <v>Abril</v>
      </c>
      <c r="H115" t="str">
        <f>VLOOKUP(F115,season,2,FALSE)</f>
        <v>Sping</v>
      </c>
    </row>
    <row r="116" spans="2:8" x14ac:dyDescent="0.2">
      <c r="B116" s="5">
        <v>38472.656696896353</v>
      </c>
      <c r="C116">
        <v>114</v>
      </c>
      <c r="D116">
        <f t="shared" si="3"/>
        <v>2005</v>
      </c>
      <c r="E116">
        <f t="shared" si="4"/>
        <v>1</v>
      </c>
      <c r="F116">
        <f t="shared" si="5"/>
        <v>4</v>
      </c>
      <c r="G116" t="str">
        <f>VLOOKUP(F116,meses,2,FALSE)</f>
        <v>Abril</v>
      </c>
      <c r="H116" t="str">
        <f>VLOOKUP(F116,season,2,FALSE)</f>
        <v>Sping</v>
      </c>
    </row>
    <row r="117" spans="2:8" x14ac:dyDescent="0.2">
      <c r="B117" s="5">
        <v>38472.960188775833</v>
      </c>
      <c r="C117">
        <v>115</v>
      </c>
      <c r="D117">
        <f t="shared" si="3"/>
        <v>2005</v>
      </c>
      <c r="E117">
        <f t="shared" si="4"/>
        <v>1</v>
      </c>
      <c r="F117">
        <f t="shared" si="5"/>
        <v>4</v>
      </c>
      <c r="G117" t="str">
        <f>VLOOKUP(F117,meses,2,FALSE)</f>
        <v>Abril</v>
      </c>
      <c r="H117" t="str">
        <f>VLOOKUP(F117,season,2,FALSE)</f>
        <v>Sping</v>
      </c>
    </row>
    <row r="118" spans="2:8" x14ac:dyDescent="0.2">
      <c r="B118" s="5">
        <v>38473.126848843436</v>
      </c>
      <c r="C118">
        <v>116</v>
      </c>
      <c r="D118">
        <f t="shared" si="3"/>
        <v>2005</v>
      </c>
      <c r="E118">
        <f t="shared" si="4"/>
        <v>1</v>
      </c>
      <c r="F118">
        <f t="shared" si="5"/>
        <v>5</v>
      </c>
      <c r="G118" t="str">
        <f>VLOOKUP(F118,meses,2,FALSE)</f>
        <v>Maio</v>
      </c>
      <c r="H118" t="str">
        <f>VLOOKUP(F118,season,2,FALSE)</f>
        <v>Sping</v>
      </c>
    </row>
    <row r="119" spans="2:8" x14ac:dyDescent="0.2">
      <c r="B119" s="5">
        <v>38473.174839441039</v>
      </c>
      <c r="C119">
        <v>117</v>
      </c>
      <c r="D119">
        <f t="shared" si="3"/>
        <v>2005</v>
      </c>
      <c r="E119">
        <f t="shared" si="4"/>
        <v>1</v>
      </c>
      <c r="F119">
        <f t="shared" si="5"/>
        <v>5</v>
      </c>
      <c r="G119" t="str">
        <f>VLOOKUP(F119,meses,2,FALSE)</f>
        <v>Maio</v>
      </c>
      <c r="H119" t="str">
        <f>VLOOKUP(F119,season,2,FALSE)</f>
        <v>Sping</v>
      </c>
    </row>
    <row r="120" spans="2:8" x14ac:dyDescent="0.2">
      <c r="B120" s="5">
        <v>38473.458289872578</v>
      </c>
      <c r="C120">
        <v>118</v>
      </c>
      <c r="D120">
        <f t="shared" si="3"/>
        <v>2005</v>
      </c>
      <c r="E120">
        <f t="shared" si="4"/>
        <v>1</v>
      </c>
      <c r="F120">
        <f t="shared" si="5"/>
        <v>5</v>
      </c>
      <c r="G120" t="str">
        <f>VLOOKUP(F120,meses,2,FALSE)</f>
        <v>Maio</v>
      </c>
      <c r="H120" t="str">
        <f>VLOOKUP(F120,season,2,FALSE)</f>
        <v>Sping</v>
      </c>
    </row>
    <row r="121" spans="2:8" x14ac:dyDescent="0.2">
      <c r="B121" s="5">
        <v>38473.883420847807</v>
      </c>
      <c r="C121">
        <v>119</v>
      </c>
      <c r="D121">
        <f t="shared" si="3"/>
        <v>2005</v>
      </c>
      <c r="E121">
        <f t="shared" si="4"/>
        <v>1</v>
      </c>
      <c r="F121">
        <f t="shared" si="5"/>
        <v>5</v>
      </c>
      <c r="G121" t="str">
        <f>VLOOKUP(F121,meses,2,FALSE)</f>
        <v>Maio</v>
      </c>
      <c r="H121" t="str">
        <f>VLOOKUP(F121,season,2,FALSE)</f>
        <v>Sping</v>
      </c>
    </row>
    <row r="122" spans="2:8" x14ac:dyDescent="0.2">
      <c r="B122" s="5">
        <v>38474.462034175325</v>
      </c>
      <c r="C122">
        <v>120</v>
      </c>
      <c r="D122">
        <f t="shared" si="3"/>
        <v>2005</v>
      </c>
      <c r="E122">
        <f t="shared" si="4"/>
        <v>1</v>
      </c>
      <c r="F122">
        <f t="shared" si="5"/>
        <v>5</v>
      </c>
      <c r="G122" t="str">
        <f>VLOOKUP(F122,meses,2,FALSE)</f>
        <v>Maio</v>
      </c>
      <c r="H122" t="str">
        <f>VLOOKUP(F122,season,2,FALSE)</f>
        <v>Sping</v>
      </c>
    </row>
    <row r="123" spans="2:8" x14ac:dyDescent="0.2">
      <c r="B123" s="5">
        <v>38474.489130800088</v>
      </c>
      <c r="C123">
        <v>121</v>
      </c>
      <c r="D123">
        <f t="shared" si="3"/>
        <v>2005</v>
      </c>
      <c r="E123">
        <f t="shared" si="4"/>
        <v>1</v>
      </c>
      <c r="F123">
        <f t="shared" si="5"/>
        <v>5</v>
      </c>
      <c r="G123" t="str">
        <f>VLOOKUP(F123,meses,2,FALSE)</f>
        <v>Maio</v>
      </c>
      <c r="H123" t="str">
        <f>VLOOKUP(F123,season,2,FALSE)</f>
        <v>Sping</v>
      </c>
    </row>
    <row r="124" spans="2:8" x14ac:dyDescent="0.2">
      <c r="B124" s="5">
        <v>38474.577624792859</v>
      </c>
      <c r="C124">
        <v>122</v>
      </c>
      <c r="D124">
        <f t="shared" si="3"/>
        <v>2005</v>
      </c>
      <c r="E124">
        <f t="shared" si="4"/>
        <v>1</v>
      </c>
      <c r="F124">
        <f t="shared" si="5"/>
        <v>5</v>
      </c>
      <c r="G124" t="str">
        <f>VLOOKUP(F124,meses,2,FALSE)</f>
        <v>Maio</v>
      </c>
      <c r="H124" t="str">
        <f>VLOOKUP(F124,season,2,FALSE)</f>
        <v>Sping</v>
      </c>
    </row>
    <row r="125" spans="2:8" x14ac:dyDescent="0.2">
      <c r="B125" s="5">
        <v>38474.662930797254</v>
      </c>
      <c r="C125">
        <v>123</v>
      </c>
      <c r="D125">
        <f t="shared" si="3"/>
        <v>2005</v>
      </c>
      <c r="E125">
        <f t="shared" si="4"/>
        <v>1</v>
      </c>
      <c r="F125">
        <f t="shared" si="5"/>
        <v>5</v>
      </c>
      <c r="G125" t="str">
        <f>VLOOKUP(F125,meses,2,FALSE)</f>
        <v>Maio</v>
      </c>
      <c r="H125" t="str">
        <f>VLOOKUP(F125,season,2,FALSE)</f>
        <v>Sping</v>
      </c>
    </row>
    <row r="126" spans="2:8" x14ac:dyDescent="0.2">
      <c r="B126" s="5">
        <v>38474.72661916275</v>
      </c>
      <c r="C126">
        <v>124</v>
      </c>
      <c r="D126">
        <f t="shared" si="3"/>
        <v>2005</v>
      </c>
      <c r="E126">
        <f t="shared" si="4"/>
        <v>1</v>
      </c>
      <c r="F126">
        <f t="shared" si="5"/>
        <v>5</v>
      </c>
      <c r="G126" t="str">
        <f>VLOOKUP(F126,meses,2,FALSE)</f>
        <v>Maio</v>
      </c>
      <c r="H126" t="str">
        <f>VLOOKUP(F126,season,2,FALSE)</f>
        <v>Sping</v>
      </c>
    </row>
    <row r="127" spans="2:8" x14ac:dyDescent="0.2">
      <c r="B127" s="5">
        <v>38475.329713452709</v>
      </c>
      <c r="C127">
        <v>125</v>
      </c>
      <c r="D127">
        <f t="shared" si="3"/>
        <v>2005</v>
      </c>
      <c r="E127">
        <f t="shared" si="4"/>
        <v>1</v>
      </c>
      <c r="F127">
        <f t="shared" si="5"/>
        <v>5</v>
      </c>
      <c r="G127" t="str">
        <f>VLOOKUP(F127,meses,2,FALSE)</f>
        <v>Maio</v>
      </c>
      <c r="H127" t="str">
        <f>VLOOKUP(F127,season,2,FALSE)</f>
        <v>Sping</v>
      </c>
    </row>
    <row r="128" spans="2:8" x14ac:dyDescent="0.2">
      <c r="B128" s="5">
        <v>38475.682866602416</v>
      </c>
      <c r="C128">
        <v>126</v>
      </c>
      <c r="D128">
        <f t="shared" si="3"/>
        <v>2005</v>
      </c>
      <c r="E128">
        <f t="shared" si="4"/>
        <v>1</v>
      </c>
      <c r="F128">
        <f t="shared" si="5"/>
        <v>5</v>
      </c>
      <c r="G128" t="str">
        <f>VLOOKUP(F128,meses,2,FALSE)</f>
        <v>Maio</v>
      </c>
      <c r="H128" t="str">
        <f>VLOOKUP(F128,season,2,FALSE)</f>
        <v>Sping</v>
      </c>
    </row>
    <row r="129" spans="2:8" x14ac:dyDescent="0.2">
      <c r="B129" s="5">
        <v>38475.798490449939</v>
      </c>
      <c r="C129">
        <v>127</v>
      </c>
      <c r="D129">
        <f t="shared" si="3"/>
        <v>2005</v>
      </c>
      <c r="E129">
        <f t="shared" si="4"/>
        <v>1</v>
      </c>
      <c r="F129">
        <f t="shared" si="5"/>
        <v>5</v>
      </c>
      <c r="G129" t="str">
        <f>VLOOKUP(F129,meses,2,FALSE)</f>
        <v>Maio</v>
      </c>
      <c r="H129" t="str">
        <f>VLOOKUP(F129,season,2,FALSE)</f>
        <v>Sping</v>
      </c>
    </row>
    <row r="130" spans="2:8" x14ac:dyDescent="0.2">
      <c r="B130" s="5">
        <v>38475.983660759259</v>
      </c>
      <c r="C130">
        <v>128</v>
      </c>
      <c r="D130">
        <f t="shared" si="3"/>
        <v>2005</v>
      </c>
      <c r="E130">
        <f t="shared" si="4"/>
        <v>1</v>
      </c>
      <c r="F130">
        <f t="shared" si="5"/>
        <v>5</v>
      </c>
      <c r="G130" t="str">
        <f>VLOOKUP(F130,meses,2,FALSE)</f>
        <v>Maio</v>
      </c>
      <c r="H130" t="str">
        <f>VLOOKUP(F130,season,2,FALSE)</f>
        <v>Sping</v>
      </c>
    </row>
    <row r="131" spans="2:8" x14ac:dyDescent="0.2">
      <c r="B131" s="5">
        <v>38476.262206253079</v>
      </c>
      <c r="C131">
        <v>129</v>
      </c>
      <c r="D131">
        <f t="shared" si="3"/>
        <v>2005</v>
      </c>
      <c r="E131">
        <f t="shared" si="4"/>
        <v>1</v>
      </c>
      <c r="F131">
        <f t="shared" si="5"/>
        <v>5</v>
      </c>
      <c r="G131" t="str">
        <f>VLOOKUP(F131,meses,2,FALSE)</f>
        <v>Maio</v>
      </c>
      <c r="H131" t="str">
        <f>VLOOKUP(F131,season,2,FALSE)</f>
        <v>Sping</v>
      </c>
    </row>
    <row r="132" spans="2:8" x14ac:dyDescent="0.2">
      <c r="B132" s="5">
        <v>38476.262434812968</v>
      </c>
      <c r="C132">
        <v>130</v>
      </c>
      <c r="D132">
        <f t="shared" ref="D132:D195" si="6">YEAR(B132)</f>
        <v>2005</v>
      </c>
      <c r="E132">
        <f t="shared" ref="E132:E195" si="7">IF(F132&lt;7,1,2)</f>
        <v>1</v>
      </c>
      <c r="F132">
        <f t="shared" ref="F132:F195" si="8">MONTH(B132)</f>
        <v>5</v>
      </c>
      <c r="G132" t="str">
        <f>VLOOKUP(F132,meses,2,FALSE)</f>
        <v>Maio</v>
      </c>
      <c r="H132" t="str">
        <f>VLOOKUP(F132,season,2,FALSE)</f>
        <v>Sping</v>
      </c>
    </row>
    <row r="133" spans="2:8" x14ac:dyDescent="0.2">
      <c r="B133" s="5">
        <v>38476.497535675662</v>
      </c>
      <c r="C133">
        <v>131</v>
      </c>
      <c r="D133">
        <f t="shared" si="6"/>
        <v>2005</v>
      </c>
      <c r="E133">
        <f t="shared" si="7"/>
        <v>1</v>
      </c>
      <c r="F133">
        <f t="shared" si="8"/>
        <v>5</v>
      </c>
      <c r="G133" t="str">
        <f>VLOOKUP(F133,meses,2,FALSE)</f>
        <v>Maio</v>
      </c>
      <c r="H133" t="str">
        <f>VLOOKUP(F133,season,2,FALSE)</f>
        <v>Sping</v>
      </c>
    </row>
    <row r="134" spans="2:8" x14ac:dyDescent="0.2">
      <c r="B134" s="5">
        <v>38476.722621370413</v>
      </c>
      <c r="C134">
        <v>132</v>
      </c>
      <c r="D134">
        <f t="shared" si="6"/>
        <v>2005</v>
      </c>
      <c r="E134">
        <f t="shared" si="7"/>
        <v>1</v>
      </c>
      <c r="F134">
        <f t="shared" si="8"/>
        <v>5</v>
      </c>
      <c r="G134" t="str">
        <f>VLOOKUP(F134,meses,2,FALSE)</f>
        <v>Maio</v>
      </c>
      <c r="H134" t="str">
        <f>VLOOKUP(F134,season,2,FALSE)</f>
        <v>Sping</v>
      </c>
    </row>
    <row r="135" spans="2:8" x14ac:dyDescent="0.2">
      <c r="B135" s="5">
        <v>38477.259613677117</v>
      </c>
      <c r="C135">
        <v>133</v>
      </c>
      <c r="D135">
        <f t="shared" si="6"/>
        <v>2005</v>
      </c>
      <c r="E135">
        <f t="shared" si="7"/>
        <v>1</v>
      </c>
      <c r="F135">
        <f t="shared" si="8"/>
        <v>5</v>
      </c>
      <c r="G135" t="str">
        <f>VLOOKUP(F135,meses,2,FALSE)</f>
        <v>Maio</v>
      </c>
      <c r="H135" t="str">
        <f>VLOOKUP(F135,season,2,FALSE)</f>
        <v>Sping</v>
      </c>
    </row>
    <row r="136" spans="2:8" x14ac:dyDescent="0.2">
      <c r="B136" s="5">
        <v>38477.318778297471</v>
      </c>
      <c r="C136">
        <v>134</v>
      </c>
      <c r="D136">
        <f t="shared" si="6"/>
        <v>2005</v>
      </c>
      <c r="E136">
        <f t="shared" si="7"/>
        <v>1</v>
      </c>
      <c r="F136">
        <f t="shared" si="8"/>
        <v>5</v>
      </c>
      <c r="G136" t="str">
        <f>VLOOKUP(F136,meses,2,FALSE)</f>
        <v>Maio</v>
      </c>
      <c r="H136" t="str">
        <f>VLOOKUP(F136,season,2,FALSE)</f>
        <v>Sping</v>
      </c>
    </row>
    <row r="137" spans="2:8" x14ac:dyDescent="0.2">
      <c r="B137" s="5">
        <v>38477.597364538713</v>
      </c>
      <c r="C137">
        <v>135</v>
      </c>
      <c r="D137">
        <f t="shared" si="6"/>
        <v>2005</v>
      </c>
      <c r="E137">
        <f t="shared" si="7"/>
        <v>1</v>
      </c>
      <c r="F137">
        <f t="shared" si="8"/>
        <v>5</v>
      </c>
      <c r="G137" t="str">
        <f>VLOOKUP(F137,meses,2,FALSE)</f>
        <v>Maio</v>
      </c>
      <c r="H137" t="str">
        <f>VLOOKUP(F137,season,2,FALSE)</f>
        <v>Sping</v>
      </c>
    </row>
    <row r="138" spans="2:8" x14ac:dyDescent="0.2">
      <c r="B138" s="5">
        <v>38477.757414536187</v>
      </c>
      <c r="C138">
        <v>136</v>
      </c>
      <c r="D138">
        <f t="shared" si="6"/>
        <v>2005</v>
      </c>
      <c r="E138">
        <f t="shared" si="7"/>
        <v>1</v>
      </c>
      <c r="F138">
        <f t="shared" si="8"/>
        <v>5</v>
      </c>
      <c r="G138" t="str">
        <f>VLOOKUP(F138,meses,2,FALSE)</f>
        <v>Maio</v>
      </c>
      <c r="H138" t="str">
        <f>VLOOKUP(F138,season,2,FALSE)</f>
        <v>Sping</v>
      </c>
    </row>
    <row r="139" spans="2:8" x14ac:dyDescent="0.2">
      <c r="B139" s="5">
        <v>38477.857156912993</v>
      </c>
      <c r="C139">
        <v>137</v>
      </c>
      <c r="D139">
        <f t="shared" si="6"/>
        <v>2005</v>
      </c>
      <c r="E139">
        <f t="shared" si="7"/>
        <v>1</v>
      </c>
      <c r="F139">
        <f t="shared" si="8"/>
        <v>5</v>
      </c>
      <c r="G139" t="str">
        <f>VLOOKUP(F139,meses,2,FALSE)</f>
        <v>Maio</v>
      </c>
      <c r="H139" t="str">
        <f>VLOOKUP(F139,season,2,FALSE)</f>
        <v>Sping</v>
      </c>
    </row>
    <row r="140" spans="2:8" x14ac:dyDescent="0.2">
      <c r="B140" s="5">
        <v>38478.260484089384</v>
      </c>
      <c r="C140">
        <v>138</v>
      </c>
      <c r="D140">
        <f t="shared" si="6"/>
        <v>2005</v>
      </c>
      <c r="E140">
        <f t="shared" si="7"/>
        <v>1</v>
      </c>
      <c r="F140">
        <f t="shared" si="8"/>
        <v>5</v>
      </c>
      <c r="G140" t="str">
        <f>VLOOKUP(F140,meses,2,FALSE)</f>
        <v>Maio</v>
      </c>
      <c r="H140" t="str">
        <f>VLOOKUP(F140,season,2,FALSE)</f>
        <v>Sping</v>
      </c>
    </row>
    <row r="141" spans="2:8" x14ac:dyDescent="0.2">
      <c r="B141" s="5">
        <v>38478.279575326887</v>
      </c>
      <c r="C141">
        <v>139</v>
      </c>
      <c r="D141">
        <f t="shared" si="6"/>
        <v>2005</v>
      </c>
      <c r="E141">
        <f t="shared" si="7"/>
        <v>1</v>
      </c>
      <c r="F141">
        <f t="shared" si="8"/>
        <v>5</v>
      </c>
      <c r="G141" t="str">
        <f>VLOOKUP(F141,meses,2,FALSE)</f>
        <v>Maio</v>
      </c>
      <c r="H141" t="str">
        <f>VLOOKUP(F141,season,2,FALSE)</f>
        <v>Sping</v>
      </c>
    </row>
    <row r="142" spans="2:8" x14ac:dyDescent="0.2">
      <c r="B142" s="5">
        <v>38478.967854057104</v>
      </c>
      <c r="C142">
        <v>140</v>
      </c>
      <c r="D142">
        <f t="shared" si="6"/>
        <v>2005</v>
      </c>
      <c r="E142">
        <f t="shared" si="7"/>
        <v>1</v>
      </c>
      <c r="F142">
        <f t="shared" si="8"/>
        <v>5</v>
      </c>
      <c r="G142" t="str">
        <f>VLOOKUP(F142,meses,2,FALSE)</f>
        <v>Maio</v>
      </c>
      <c r="H142" t="str">
        <f>VLOOKUP(F142,season,2,FALSE)</f>
        <v>Sping</v>
      </c>
    </row>
    <row r="143" spans="2:8" x14ac:dyDescent="0.2">
      <c r="B143" s="5">
        <v>38479.478873188535</v>
      </c>
      <c r="C143">
        <v>141</v>
      </c>
      <c r="D143">
        <f t="shared" si="6"/>
        <v>2005</v>
      </c>
      <c r="E143">
        <f t="shared" si="7"/>
        <v>1</v>
      </c>
      <c r="F143">
        <f t="shared" si="8"/>
        <v>5</v>
      </c>
      <c r="G143" t="str">
        <f>VLOOKUP(F143,meses,2,FALSE)</f>
        <v>Maio</v>
      </c>
      <c r="H143" t="str">
        <f>VLOOKUP(F143,season,2,FALSE)</f>
        <v>Sping</v>
      </c>
    </row>
    <row r="144" spans="2:8" x14ac:dyDescent="0.2">
      <c r="B144" s="5">
        <v>38480.396278820219</v>
      </c>
      <c r="C144">
        <v>142</v>
      </c>
      <c r="D144">
        <f t="shared" si="6"/>
        <v>2005</v>
      </c>
      <c r="E144">
        <f t="shared" si="7"/>
        <v>1</v>
      </c>
      <c r="F144">
        <f t="shared" si="8"/>
        <v>5</v>
      </c>
      <c r="G144" t="str">
        <f>VLOOKUP(F144,meses,2,FALSE)</f>
        <v>Maio</v>
      </c>
      <c r="H144" t="str">
        <f>VLOOKUP(F144,season,2,FALSE)</f>
        <v>Sping</v>
      </c>
    </row>
    <row r="145" spans="2:8" x14ac:dyDescent="0.2">
      <c r="B145" s="5">
        <v>38480.487740850192</v>
      </c>
      <c r="C145">
        <v>143</v>
      </c>
      <c r="D145">
        <f t="shared" si="6"/>
        <v>2005</v>
      </c>
      <c r="E145">
        <f t="shared" si="7"/>
        <v>1</v>
      </c>
      <c r="F145">
        <f t="shared" si="8"/>
        <v>5</v>
      </c>
      <c r="G145" t="str">
        <f>VLOOKUP(F145,meses,2,FALSE)</f>
        <v>Maio</v>
      </c>
      <c r="H145" t="str">
        <f>VLOOKUP(F145,season,2,FALSE)</f>
        <v>Sping</v>
      </c>
    </row>
    <row r="146" spans="2:8" x14ac:dyDescent="0.2">
      <c r="B146" s="5">
        <v>38480.543916573995</v>
      </c>
      <c r="C146">
        <v>144</v>
      </c>
      <c r="D146">
        <f t="shared" si="6"/>
        <v>2005</v>
      </c>
      <c r="E146">
        <f t="shared" si="7"/>
        <v>1</v>
      </c>
      <c r="F146">
        <f t="shared" si="8"/>
        <v>5</v>
      </c>
      <c r="G146" t="str">
        <f>VLOOKUP(F146,meses,2,FALSE)</f>
        <v>Maio</v>
      </c>
      <c r="H146" t="str">
        <f>VLOOKUP(F146,season,2,FALSE)</f>
        <v>Sping</v>
      </c>
    </row>
    <row r="147" spans="2:8" x14ac:dyDescent="0.2">
      <c r="B147" s="5">
        <v>38480.605557013405</v>
      </c>
      <c r="C147">
        <v>145</v>
      </c>
      <c r="D147">
        <f t="shared" si="6"/>
        <v>2005</v>
      </c>
      <c r="E147">
        <f t="shared" si="7"/>
        <v>1</v>
      </c>
      <c r="F147">
        <f t="shared" si="8"/>
        <v>5</v>
      </c>
      <c r="G147" t="str">
        <f>VLOOKUP(F147,meses,2,FALSE)</f>
        <v>Maio</v>
      </c>
      <c r="H147" t="str">
        <f>VLOOKUP(F147,season,2,FALSE)</f>
        <v>Sping</v>
      </c>
    </row>
    <row r="148" spans="2:8" x14ac:dyDescent="0.2">
      <c r="B148" s="5">
        <v>38480.624153423669</v>
      </c>
      <c r="C148">
        <v>146</v>
      </c>
      <c r="D148">
        <f t="shared" si="6"/>
        <v>2005</v>
      </c>
      <c r="E148">
        <f t="shared" si="7"/>
        <v>1</v>
      </c>
      <c r="F148">
        <f t="shared" si="8"/>
        <v>5</v>
      </c>
      <c r="G148" t="str">
        <f>VLOOKUP(F148,meses,2,FALSE)</f>
        <v>Maio</v>
      </c>
      <c r="H148" t="str">
        <f>VLOOKUP(F148,season,2,FALSE)</f>
        <v>Sping</v>
      </c>
    </row>
    <row r="149" spans="2:8" x14ac:dyDescent="0.2">
      <c r="B149" s="5">
        <v>38480.761509026626</v>
      </c>
      <c r="C149">
        <v>147</v>
      </c>
      <c r="D149">
        <f t="shared" si="6"/>
        <v>2005</v>
      </c>
      <c r="E149">
        <f t="shared" si="7"/>
        <v>1</v>
      </c>
      <c r="F149">
        <f t="shared" si="8"/>
        <v>5</v>
      </c>
      <c r="G149" t="str">
        <f>VLOOKUP(F149,meses,2,FALSE)</f>
        <v>Maio</v>
      </c>
      <c r="H149" t="str">
        <f>VLOOKUP(F149,season,2,FALSE)</f>
        <v>Sping</v>
      </c>
    </row>
    <row r="150" spans="2:8" x14ac:dyDescent="0.2">
      <c r="B150" s="5">
        <v>38480.888645703089</v>
      </c>
      <c r="C150">
        <v>148</v>
      </c>
      <c r="D150">
        <f t="shared" si="6"/>
        <v>2005</v>
      </c>
      <c r="E150">
        <f t="shared" si="7"/>
        <v>1</v>
      </c>
      <c r="F150">
        <f t="shared" si="8"/>
        <v>5</v>
      </c>
      <c r="G150" t="str">
        <f>VLOOKUP(F150,meses,2,FALSE)</f>
        <v>Maio</v>
      </c>
      <c r="H150" t="str">
        <f>VLOOKUP(F150,season,2,FALSE)</f>
        <v>Sping</v>
      </c>
    </row>
    <row r="151" spans="2:8" x14ac:dyDescent="0.2">
      <c r="B151" s="5">
        <v>38481.040469011852</v>
      </c>
      <c r="C151">
        <v>149</v>
      </c>
      <c r="D151">
        <f t="shared" si="6"/>
        <v>2005</v>
      </c>
      <c r="E151">
        <f t="shared" si="7"/>
        <v>1</v>
      </c>
      <c r="F151">
        <f t="shared" si="8"/>
        <v>5</v>
      </c>
      <c r="G151" t="str">
        <f>VLOOKUP(F151,meses,2,FALSE)</f>
        <v>Maio</v>
      </c>
      <c r="H151" t="str">
        <f>VLOOKUP(F151,season,2,FALSE)</f>
        <v>Sping</v>
      </c>
    </row>
    <row r="152" spans="2:8" x14ac:dyDescent="0.2">
      <c r="B152" s="5">
        <v>38481.218484856006</v>
      </c>
      <c r="C152">
        <v>150</v>
      </c>
      <c r="D152">
        <f t="shared" si="6"/>
        <v>2005</v>
      </c>
      <c r="E152">
        <f t="shared" si="7"/>
        <v>1</v>
      </c>
      <c r="F152">
        <f t="shared" si="8"/>
        <v>5</v>
      </c>
      <c r="G152" t="str">
        <f>VLOOKUP(F152,meses,2,FALSE)</f>
        <v>Maio</v>
      </c>
      <c r="H152" t="str">
        <f>VLOOKUP(F152,season,2,FALSE)</f>
        <v>Sping</v>
      </c>
    </row>
    <row r="153" spans="2:8" x14ac:dyDescent="0.2">
      <c r="B153" s="5">
        <v>38481.361467594092</v>
      </c>
      <c r="C153">
        <v>151</v>
      </c>
      <c r="D153">
        <f t="shared" si="6"/>
        <v>2005</v>
      </c>
      <c r="E153">
        <f t="shared" si="7"/>
        <v>1</v>
      </c>
      <c r="F153">
        <f t="shared" si="8"/>
        <v>5</v>
      </c>
      <c r="G153" t="str">
        <f>VLOOKUP(F153,meses,2,FALSE)</f>
        <v>Maio</v>
      </c>
      <c r="H153" t="str">
        <f>VLOOKUP(F153,season,2,FALSE)</f>
        <v>Sping</v>
      </c>
    </row>
    <row r="154" spans="2:8" x14ac:dyDescent="0.2">
      <c r="B154" s="5">
        <v>38481.896485581769</v>
      </c>
      <c r="C154">
        <v>152</v>
      </c>
      <c r="D154">
        <f t="shared" si="6"/>
        <v>2005</v>
      </c>
      <c r="E154">
        <f t="shared" si="7"/>
        <v>1</v>
      </c>
      <c r="F154">
        <f t="shared" si="8"/>
        <v>5</v>
      </c>
      <c r="G154" t="str">
        <f>VLOOKUP(F154,meses,2,FALSE)</f>
        <v>Maio</v>
      </c>
      <c r="H154" t="str">
        <f>VLOOKUP(F154,season,2,FALSE)</f>
        <v>Sping</v>
      </c>
    </row>
    <row r="155" spans="2:8" x14ac:dyDescent="0.2">
      <c r="B155" s="5">
        <v>38482.165969635884</v>
      </c>
      <c r="C155">
        <v>153</v>
      </c>
      <c r="D155">
        <f t="shared" si="6"/>
        <v>2005</v>
      </c>
      <c r="E155">
        <f t="shared" si="7"/>
        <v>1</v>
      </c>
      <c r="F155">
        <f t="shared" si="8"/>
        <v>5</v>
      </c>
      <c r="G155" t="str">
        <f>VLOOKUP(F155,meses,2,FALSE)</f>
        <v>Maio</v>
      </c>
      <c r="H155" t="str">
        <f>VLOOKUP(F155,season,2,FALSE)</f>
        <v>Sping</v>
      </c>
    </row>
    <row r="156" spans="2:8" x14ac:dyDescent="0.2">
      <c r="B156" s="5">
        <v>38482.401739053319</v>
      </c>
      <c r="C156">
        <v>154</v>
      </c>
      <c r="D156">
        <f t="shared" si="6"/>
        <v>2005</v>
      </c>
      <c r="E156">
        <f t="shared" si="7"/>
        <v>1</v>
      </c>
      <c r="F156">
        <f t="shared" si="8"/>
        <v>5</v>
      </c>
      <c r="G156" t="str">
        <f>VLOOKUP(F156,meses,2,FALSE)</f>
        <v>Maio</v>
      </c>
      <c r="H156" t="str">
        <f>VLOOKUP(F156,season,2,FALSE)</f>
        <v>Sping</v>
      </c>
    </row>
    <row r="157" spans="2:8" x14ac:dyDescent="0.2">
      <c r="B157" s="5">
        <v>38482.844881140394</v>
      </c>
      <c r="C157">
        <v>155</v>
      </c>
      <c r="D157">
        <f t="shared" si="6"/>
        <v>2005</v>
      </c>
      <c r="E157">
        <f t="shared" si="7"/>
        <v>1</v>
      </c>
      <c r="F157">
        <f t="shared" si="8"/>
        <v>5</v>
      </c>
      <c r="G157" t="str">
        <f>VLOOKUP(F157,meses,2,FALSE)</f>
        <v>Maio</v>
      </c>
      <c r="H157" t="str">
        <f>VLOOKUP(F157,season,2,FALSE)</f>
        <v>Sping</v>
      </c>
    </row>
    <row r="158" spans="2:8" x14ac:dyDescent="0.2">
      <c r="B158" s="5">
        <v>38483.018804945699</v>
      </c>
      <c r="C158">
        <v>156</v>
      </c>
      <c r="D158">
        <f t="shared" si="6"/>
        <v>2005</v>
      </c>
      <c r="E158">
        <f t="shared" si="7"/>
        <v>1</v>
      </c>
      <c r="F158">
        <f t="shared" si="8"/>
        <v>5</v>
      </c>
      <c r="G158" t="str">
        <f>VLOOKUP(F158,meses,2,FALSE)</f>
        <v>Maio</v>
      </c>
      <c r="H158" t="str">
        <f>VLOOKUP(F158,season,2,FALSE)</f>
        <v>Sping</v>
      </c>
    </row>
    <row r="159" spans="2:8" x14ac:dyDescent="0.2">
      <c r="B159" s="5">
        <v>38483.566367878469</v>
      </c>
      <c r="C159">
        <v>157</v>
      </c>
      <c r="D159">
        <f t="shared" si="6"/>
        <v>2005</v>
      </c>
      <c r="E159">
        <f t="shared" si="7"/>
        <v>1</v>
      </c>
      <c r="F159">
        <f t="shared" si="8"/>
        <v>5</v>
      </c>
      <c r="G159" t="str">
        <f>VLOOKUP(F159,meses,2,FALSE)</f>
        <v>Maio</v>
      </c>
      <c r="H159" t="str">
        <f>VLOOKUP(F159,season,2,FALSE)</f>
        <v>Sping</v>
      </c>
    </row>
    <row r="160" spans="2:8" x14ac:dyDescent="0.2">
      <c r="B160" s="5">
        <v>38483.837588033777</v>
      </c>
      <c r="C160">
        <v>158</v>
      </c>
      <c r="D160">
        <f t="shared" si="6"/>
        <v>2005</v>
      </c>
      <c r="E160">
        <f t="shared" si="7"/>
        <v>1</v>
      </c>
      <c r="F160">
        <f t="shared" si="8"/>
        <v>5</v>
      </c>
      <c r="G160" t="str">
        <f>VLOOKUP(F160,meses,2,FALSE)</f>
        <v>Maio</v>
      </c>
      <c r="H160" t="str">
        <f>VLOOKUP(F160,season,2,FALSE)</f>
        <v>Sping</v>
      </c>
    </row>
    <row r="161" spans="2:8" x14ac:dyDescent="0.2">
      <c r="B161" s="5">
        <v>38483.991238050345</v>
      </c>
      <c r="C161">
        <v>159</v>
      </c>
      <c r="D161">
        <f t="shared" si="6"/>
        <v>2005</v>
      </c>
      <c r="E161">
        <f t="shared" si="7"/>
        <v>1</v>
      </c>
      <c r="F161">
        <f t="shared" si="8"/>
        <v>5</v>
      </c>
      <c r="G161" t="str">
        <f>VLOOKUP(F161,meses,2,FALSE)</f>
        <v>Maio</v>
      </c>
      <c r="H161" t="str">
        <f>VLOOKUP(F161,season,2,FALSE)</f>
        <v>Sping</v>
      </c>
    </row>
    <row r="162" spans="2:8" x14ac:dyDescent="0.2">
      <c r="B162" s="5">
        <v>38484.512074015365</v>
      </c>
      <c r="C162">
        <v>160</v>
      </c>
      <c r="D162">
        <f t="shared" si="6"/>
        <v>2005</v>
      </c>
      <c r="E162">
        <f t="shared" si="7"/>
        <v>1</v>
      </c>
      <c r="F162">
        <f t="shared" si="8"/>
        <v>5</v>
      </c>
      <c r="G162" t="str">
        <f>VLOOKUP(F162,meses,2,FALSE)</f>
        <v>Maio</v>
      </c>
      <c r="H162" t="str">
        <f>VLOOKUP(F162,season,2,FALSE)</f>
        <v>Sping</v>
      </c>
    </row>
    <row r="163" spans="2:8" x14ac:dyDescent="0.2">
      <c r="B163" s="5">
        <v>38485.253092596511</v>
      </c>
      <c r="C163">
        <v>161</v>
      </c>
      <c r="D163">
        <f t="shared" si="6"/>
        <v>2005</v>
      </c>
      <c r="E163">
        <f t="shared" si="7"/>
        <v>1</v>
      </c>
      <c r="F163">
        <f t="shared" si="8"/>
        <v>5</v>
      </c>
      <c r="G163" t="str">
        <f>VLOOKUP(F163,meses,2,FALSE)</f>
        <v>Maio</v>
      </c>
      <c r="H163" t="str">
        <f>VLOOKUP(F163,season,2,FALSE)</f>
        <v>Sping</v>
      </c>
    </row>
    <row r="164" spans="2:8" x14ac:dyDescent="0.2">
      <c r="B164" s="5">
        <v>38485.406927400159</v>
      </c>
      <c r="C164">
        <v>162</v>
      </c>
      <c r="D164">
        <f t="shared" si="6"/>
        <v>2005</v>
      </c>
      <c r="E164">
        <f t="shared" si="7"/>
        <v>1</v>
      </c>
      <c r="F164">
        <f t="shared" si="8"/>
        <v>5</v>
      </c>
      <c r="G164" t="str">
        <f>VLOOKUP(F164,meses,2,FALSE)</f>
        <v>Maio</v>
      </c>
      <c r="H164" t="str">
        <f>VLOOKUP(F164,season,2,FALSE)</f>
        <v>Sping</v>
      </c>
    </row>
    <row r="165" spans="2:8" x14ac:dyDescent="0.2">
      <c r="B165" s="5">
        <v>38485.761781515961</v>
      </c>
      <c r="C165">
        <v>163</v>
      </c>
      <c r="D165">
        <f t="shared" si="6"/>
        <v>2005</v>
      </c>
      <c r="E165">
        <f t="shared" si="7"/>
        <v>1</v>
      </c>
      <c r="F165">
        <f t="shared" si="8"/>
        <v>5</v>
      </c>
      <c r="G165" t="str">
        <f>VLOOKUP(F165,meses,2,FALSE)</f>
        <v>Maio</v>
      </c>
      <c r="H165" t="str">
        <f>VLOOKUP(F165,season,2,FALSE)</f>
        <v>Sping</v>
      </c>
    </row>
    <row r="166" spans="2:8" x14ac:dyDescent="0.2">
      <c r="B166" s="5">
        <v>38486.483795647706</v>
      </c>
      <c r="C166">
        <v>164</v>
      </c>
      <c r="D166">
        <f t="shared" si="6"/>
        <v>2005</v>
      </c>
      <c r="E166">
        <f t="shared" si="7"/>
        <v>1</v>
      </c>
      <c r="F166">
        <f t="shared" si="8"/>
        <v>5</v>
      </c>
      <c r="G166" t="str">
        <f>VLOOKUP(F166,meses,2,FALSE)</f>
        <v>Maio</v>
      </c>
      <c r="H166" t="str">
        <f>VLOOKUP(F166,season,2,FALSE)</f>
        <v>Sping</v>
      </c>
    </row>
    <row r="167" spans="2:8" x14ac:dyDescent="0.2">
      <c r="B167" s="5">
        <v>38486.667409734633</v>
      </c>
      <c r="C167">
        <v>165</v>
      </c>
      <c r="D167">
        <f t="shared" si="6"/>
        <v>2005</v>
      </c>
      <c r="E167">
        <f t="shared" si="7"/>
        <v>1</v>
      </c>
      <c r="F167">
        <f t="shared" si="8"/>
        <v>5</v>
      </c>
      <c r="G167" t="str">
        <f>VLOOKUP(F167,meses,2,FALSE)</f>
        <v>Maio</v>
      </c>
      <c r="H167" t="str">
        <f>VLOOKUP(F167,season,2,FALSE)</f>
        <v>Sping</v>
      </c>
    </row>
    <row r="168" spans="2:8" x14ac:dyDescent="0.2">
      <c r="B168" s="5">
        <v>38487.402026380434</v>
      </c>
      <c r="C168">
        <v>166</v>
      </c>
      <c r="D168">
        <f t="shared" si="6"/>
        <v>2005</v>
      </c>
      <c r="E168">
        <f t="shared" si="7"/>
        <v>1</v>
      </c>
      <c r="F168">
        <f t="shared" si="8"/>
        <v>5</v>
      </c>
      <c r="G168" t="str">
        <f>VLOOKUP(F168,meses,2,FALSE)</f>
        <v>Maio</v>
      </c>
      <c r="H168" t="str">
        <f>VLOOKUP(F168,season,2,FALSE)</f>
        <v>Sping</v>
      </c>
    </row>
    <row r="169" spans="2:8" x14ac:dyDescent="0.2">
      <c r="B169" s="5">
        <v>38487.806489773953</v>
      </c>
      <c r="C169">
        <v>167</v>
      </c>
      <c r="D169">
        <f t="shared" si="6"/>
        <v>2005</v>
      </c>
      <c r="E169">
        <f t="shared" si="7"/>
        <v>1</v>
      </c>
      <c r="F169">
        <f t="shared" si="8"/>
        <v>5</v>
      </c>
      <c r="G169" t="str">
        <f>VLOOKUP(F169,meses,2,FALSE)</f>
        <v>Maio</v>
      </c>
      <c r="H169" t="str">
        <f>VLOOKUP(F169,season,2,FALSE)</f>
        <v>Sping</v>
      </c>
    </row>
    <row r="170" spans="2:8" x14ac:dyDescent="0.2">
      <c r="B170" s="5">
        <v>38487.963576598217</v>
      </c>
      <c r="C170">
        <v>168</v>
      </c>
      <c r="D170">
        <f t="shared" si="6"/>
        <v>2005</v>
      </c>
      <c r="E170">
        <f t="shared" si="7"/>
        <v>1</v>
      </c>
      <c r="F170">
        <f t="shared" si="8"/>
        <v>5</v>
      </c>
      <c r="G170" t="str">
        <f>VLOOKUP(F170,meses,2,FALSE)</f>
        <v>Maio</v>
      </c>
      <c r="H170" t="str">
        <f>VLOOKUP(F170,season,2,FALSE)</f>
        <v>Sping</v>
      </c>
    </row>
    <row r="171" spans="2:8" x14ac:dyDescent="0.2">
      <c r="B171" s="5">
        <v>38488.087763839329</v>
      </c>
      <c r="C171">
        <v>169</v>
      </c>
      <c r="D171">
        <f t="shared" si="6"/>
        <v>2005</v>
      </c>
      <c r="E171">
        <f t="shared" si="7"/>
        <v>1</v>
      </c>
      <c r="F171">
        <f t="shared" si="8"/>
        <v>5</v>
      </c>
      <c r="G171" t="str">
        <f>VLOOKUP(F171,meses,2,FALSE)</f>
        <v>Maio</v>
      </c>
      <c r="H171" t="str">
        <f>VLOOKUP(F171,season,2,FALSE)</f>
        <v>Sping</v>
      </c>
    </row>
    <row r="172" spans="2:8" x14ac:dyDescent="0.2">
      <c r="B172" s="5">
        <v>38488.201433877191</v>
      </c>
      <c r="C172">
        <v>170</v>
      </c>
      <c r="D172">
        <f t="shared" si="6"/>
        <v>2005</v>
      </c>
      <c r="E172">
        <f t="shared" si="7"/>
        <v>1</v>
      </c>
      <c r="F172">
        <f t="shared" si="8"/>
        <v>5</v>
      </c>
      <c r="G172" t="str">
        <f>VLOOKUP(F172,meses,2,FALSE)</f>
        <v>Maio</v>
      </c>
      <c r="H172" t="str">
        <f>VLOOKUP(F172,season,2,FALSE)</f>
        <v>Sping</v>
      </c>
    </row>
    <row r="173" spans="2:8" x14ac:dyDescent="0.2">
      <c r="B173" s="5">
        <v>38488.360332141267</v>
      </c>
      <c r="C173">
        <v>171</v>
      </c>
      <c r="D173">
        <f t="shared" si="6"/>
        <v>2005</v>
      </c>
      <c r="E173">
        <f t="shared" si="7"/>
        <v>1</v>
      </c>
      <c r="F173">
        <f t="shared" si="8"/>
        <v>5</v>
      </c>
      <c r="G173" t="str">
        <f>VLOOKUP(F173,meses,2,FALSE)</f>
        <v>Maio</v>
      </c>
      <c r="H173" t="str">
        <f>VLOOKUP(F173,season,2,FALSE)</f>
        <v>Sping</v>
      </c>
    </row>
    <row r="174" spans="2:8" x14ac:dyDescent="0.2">
      <c r="B174" s="5">
        <v>38489.026619189033</v>
      </c>
      <c r="C174">
        <v>172</v>
      </c>
      <c r="D174">
        <f t="shared" si="6"/>
        <v>2005</v>
      </c>
      <c r="E174">
        <f t="shared" si="7"/>
        <v>1</v>
      </c>
      <c r="F174">
        <f t="shared" si="8"/>
        <v>5</v>
      </c>
      <c r="G174" t="str">
        <f>VLOOKUP(F174,meses,2,FALSE)</f>
        <v>Maio</v>
      </c>
      <c r="H174" t="str">
        <f>VLOOKUP(F174,season,2,FALSE)</f>
        <v>Sping</v>
      </c>
    </row>
    <row r="175" spans="2:8" x14ac:dyDescent="0.2">
      <c r="B175" s="5">
        <v>38489.035713090394</v>
      </c>
      <c r="C175">
        <v>173</v>
      </c>
      <c r="D175">
        <f t="shared" si="6"/>
        <v>2005</v>
      </c>
      <c r="E175">
        <f t="shared" si="7"/>
        <v>1</v>
      </c>
      <c r="F175">
        <f t="shared" si="8"/>
        <v>5</v>
      </c>
      <c r="G175" t="str">
        <f>VLOOKUP(F175,meses,2,FALSE)</f>
        <v>Maio</v>
      </c>
      <c r="H175" t="str">
        <f>VLOOKUP(F175,season,2,FALSE)</f>
        <v>Sping</v>
      </c>
    </row>
    <row r="176" spans="2:8" x14ac:dyDescent="0.2">
      <c r="B176" s="5">
        <v>38489.075914604022</v>
      </c>
      <c r="C176">
        <v>174</v>
      </c>
      <c r="D176">
        <f t="shared" si="6"/>
        <v>2005</v>
      </c>
      <c r="E176">
        <f t="shared" si="7"/>
        <v>1</v>
      </c>
      <c r="F176">
        <f t="shared" si="8"/>
        <v>5</v>
      </c>
      <c r="G176" t="str">
        <f>VLOOKUP(F176,meses,2,FALSE)</f>
        <v>Maio</v>
      </c>
      <c r="H176" t="str">
        <f>VLOOKUP(F176,season,2,FALSE)</f>
        <v>Sping</v>
      </c>
    </row>
    <row r="177" spans="2:8" x14ac:dyDescent="0.2">
      <c r="B177" s="5">
        <v>38489.117222457651</v>
      </c>
      <c r="C177">
        <v>175</v>
      </c>
      <c r="D177">
        <f t="shared" si="6"/>
        <v>2005</v>
      </c>
      <c r="E177">
        <f t="shared" si="7"/>
        <v>1</v>
      </c>
      <c r="F177">
        <f t="shared" si="8"/>
        <v>5</v>
      </c>
      <c r="G177" t="str">
        <f>VLOOKUP(F177,meses,2,FALSE)</f>
        <v>Maio</v>
      </c>
      <c r="H177" t="str">
        <f>VLOOKUP(F177,season,2,FALSE)</f>
        <v>Sping</v>
      </c>
    </row>
    <row r="178" spans="2:8" x14ac:dyDescent="0.2">
      <c r="B178" s="5">
        <v>38489.427218937948</v>
      </c>
      <c r="C178">
        <v>176</v>
      </c>
      <c r="D178">
        <f t="shared" si="6"/>
        <v>2005</v>
      </c>
      <c r="E178">
        <f t="shared" si="7"/>
        <v>1</v>
      </c>
      <c r="F178">
        <f t="shared" si="8"/>
        <v>5</v>
      </c>
      <c r="G178" t="str">
        <f>VLOOKUP(F178,meses,2,FALSE)</f>
        <v>Maio</v>
      </c>
      <c r="H178" t="str">
        <f>VLOOKUP(F178,season,2,FALSE)</f>
        <v>Sping</v>
      </c>
    </row>
    <row r="179" spans="2:8" x14ac:dyDescent="0.2">
      <c r="B179" s="5">
        <v>38489.548997706501</v>
      </c>
      <c r="C179">
        <v>177</v>
      </c>
      <c r="D179">
        <f t="shared" si="6"/>
        <v>2005</v>
      </c>
      <c r="E179">
        <f t="shared" si="7"/>
        <v>1</v>
      </c>
      <c r="F179">
        <f t="shared" si="8"/>
        <v>5</v>
      </c>
      <c r="G179" t="str">
        <f>VLOOKUP(F179,meses,2,FALSE)</f>
        <v>Maio</v>
      </c>
      <c r="H179" t="str">
        <f>VLOOKUP(F179,season,2,FALSE)</f>
        <v>Sping</v>
      </c>
    </row>
    <row r="180" spans="2:8" x14ac:dyDescent="0.2">
      <c r="B180" s="5">
        <v>38489.633348071322</v>
      </c>
      <c r="C180">
        <v>178</v>
      </c>
      <c r="D180">
        <f t="shared" si="6"/>
        <v>2005</v>
      </c>
      <c r="E180">
        <f t="shared" si="7"/>
        <v>1</v>
      </c>
      <c r="F180">
        <f t="shared" si="8"/>
        <v>5</v>
      </c>
      <c r="G180" t="str">
        <f>VLOOKUP(F180,meses,2,FALSE)</f>
        <v>Maio</v>
      </c>
      <c r="H180" t="str">
        <f>VLOOKUP(F180,season,2,FALSE)</f>
        <v>Sping</v>
      </c>
    </row>
    <row r="181" spans="2:8" x14ac:dyDescent="0.2">
      <c r="B181" s="5">
        <v>38490.535499195081</v>
      </c>
      <c r="C181">
        <v>179</v>
      </c>
      <c r="D181">
        <f t="shared" si="6"/>
        <v>2005</v>
      </c>
      <c r="E181">
        <f t="shared" si="7"/>
        <v>1</v>
      </c>
      <c r="F181">
        <f t="shared" si="8"/>
        <v>5</v>
      </c>
      <c r="G181" t="str">
        <f>VLOOKUP(F181,meses,2,FALSE)</f>
        <v>Maio</v>
      </c>
      <c r="H181" t="str">
        <f>VLOOKUP(F181,season,2,FALSE)</f>
        <v>Sping</v>
      </c>
    </row>
    <row r="182" spans="2:8" x14ac:dyDescent="0.2">
      <c r="B182" s="5">
        <v>38490.760700159321</v>
      </c>
      <c r="C182">
        <v>180</v>
      </c>
      <c r="D182">
        <f t="shared" si="6"/>
        <v>2005</v>
      </c>
      <c r="E182">
        <f t="shared" si="7"/>
        <v>1</v>
      </c>
      <c r="F182">
        <f t="shared" si="8"/>
        <v>5</v>
      </c>
      <c r="G182" t="str">
        <f>VLOOKUP(F182,meses,2,FALSE)</f>
        <v>Maio</v>
      </c>
      <c r="H182" t="str">
        <f>VLOOKUP(F182,season,2,FALSE)</f>
        <v>Sping</v>
      </c>
    </row>
    <row r="183" spans="2:8" x14ac:dyDescent="0.2">
      <c r="B183" s="5">
        <v>38490.812762553898</v>
      </c>
      <c r="C183">
        <v>181</v>
      </c>
      <c r="D183">
        <f t="shared" si="6"/>
        <v>2005</v>
      </c>
      <c r="E183">
        <f t="shared" si="7"/>
        <v>1</v>
      </c>
      <c r="F183">
        <f t="shared" si="8"/>
        <v>5</v>
      </c>
      <c r="G183" t="str">
        <f>VLOOKUP(F183,meses,2,FALSE)</f>
        <v>Maio</v>
      </c>
      <c r="H183" t="str">
        <f>VLOOKUP(F183,season,2,FALSE)</f>
        <v>Sping</v>
      </c>
    </row>
    <row r="184" spans="2:8" x14ac:dyDescent="0.2">
      <c r="B184" s="5">
        <v>38491.028407450249</v>
      </c>
      <c r="C184">
        <v>182</v>
      </c>
      <c r="D184">
        <f t="shared" si="6"/>
        <v>2005</v>
      </c>
      <c r="E184">
        <f t="shared" si="7"/>
        <v>1</v>
      </c>
      <c r="F184">
        <f t="shared" si="8"/>
        <v>5</v>
      </c>
      <c r="G184" t="str">
        <f>VLOOKUP(F184,meses,2,FALSE)</f>
        <v>Maio</v>
      </c>
      <c r="H184" t="str">
        <f>VLOOKUP(F184,season,2,FALSE)</f>
        <v>Sping</v>
      </c>
    </row>
    <row r="185" spans="2:8" x14ac:dyDescent="0.2">
      <c r="B185" s="5">
        <v>38491.454904180093</v>
      </c>
      <c r="C185">
        <v>183</v>
      </c>
      <c r="D185">
        <f t="shared" si="6"/>
        <v>2005</v>
      </c>
      <c r="E185">
        <f t="shared" si="7"/>
        <v>1</v>
      </c>
      <c r="F185">
        <f t="shared" si="8"/>
        <v>5</v>
      </c>
      <c r="G185" t="str">
        <f>VLOOKUP(F185,meses,2,FALSE)</f>
        <v>Maio</v>
      </c>
      <c r="H185" t="str">
        <f>VLOOKUP(F185,season,2,FALSE)</f>
        <v>Sping</v>
      </c>
    </row>
    <row r="186" spans="2:8" x14ac:dyDescent="0.2">
      <c r="B186" s="5">
        <v>38491.883930444623</v>
      </c>
      <c r="C186">
        <v>184</v>
      </c>
      <c r="D186">
        <f t="shared" si="6"/>
        <v>2005</v>
      </c>
      <c r="E186">
        <f t="shared" si="7"/>
        <v>1</v>
      </c>
      <c r="F186">
        <f t="shared" si="8"/>
        <v>5</v>
      </c>
      <c r="G186" t="str">
        <f>VLOOKUP(F186,meses,2,FALSE)</f>
        <v>Maio</v>
      </c>
      <c r="H186" t="str">
        <f>VLOOKUP(F186,season,2,FALSE)</f>
        <v>Sping</v>
      </c>
    </row>
    <row r="187" spans="2:8" x14ac:dyDescent="0.2">
      <c r="B187" s="5">
        <v>38491.981922424355</v>
      </c>
      <c r="C187">
        <v>185</v>
      </c>
      <c r="D187">
        <f t="shared" si="6"/>
        <v>2005</v>
      </c>
      <c r="E187">
        <f t="shared" si="7"/>
        <v>1</v>
      </c>
      <c r="F187">
        <f t="shared" si="8"/>
        <v>5</v>
      </c>
      <c r="G187" t="str">
        <f>VLOOKUP(F187,meses,2,FALSE)</f>
        <v>Maio</v>
      </c>
      <c r="H187" t="str">
        <f>VLOOKUP(F187,season,2,FALSE)</f>
        <v>Sping</v>
      </c>
    </row>
    <row r="188" spans="2:8" x14ac:dyDescent="0.2">
      <c r="B188" s="5">
        <v>38492.036094885443</v>
      </c>
      <c r="C188">
        <v>186</v>
      </c>
      <c r="D188">
        <f t="shared" si="6"/>
        <v>2005</v>
      </c>
      <c r="E188">
        <f t="shared" si="7"/>
        <v>1</v>
      </c>
      <c r="F188">
        <f t="shared" si="8"/>
        <v>5</v>
      </c>
      <c r="G188" t="str">
        <f>VLOOKUP(F188,meses,2,FALSE)</f>
        <v>Maio</v>
      </c>
      <c r="H188" t="str">
        <f>VLOOKUP(F188,season,2,FALSE)</f>
        <v>Sping</v>
      </c>
    </row>
    <row r="189" spans="2:8" x14ac:dyDescent="0.2">
      <c r="B189" s="5">
        <v>38492.134086842547</v>
      </c>
      <c r="C189">
        <v>187</v>
      </c>
      <c r="D189">
        <f t="shared" si="6"/>
        <v>2005</v>
      </c>
      <c r="E189">
        <f t="shared" si="7"/>
        <v>1</v>
      </c>
      <c r="F189">
        <f t="shared" si="8"/>
        <v>5</v>
      </c>
      <c r="G189" t="str">
        <f>VLOOKUP(F189,meses,2,FALSE)</f>
        <v>Maio</v>
      </c>
      <c r="H189" t="str">
        <f>VLOOKUP(F189,season,2,FALSE)</f>
        <v>Sping</v>
      </c>
    </row>
    <row r="190" spans="2:8" x14ac:dyDescent="0.2">
      <c r="B190" s="5">
        <v>38492.521981829115</v>
      </c>
      <c r="C190">
        <v>188</v>
      </c>
      <c r="D190">
        <f t="shared" si="6"/>
        <v>2005</v>
      </c>
      <c r="E190">
        <f t="shared" si="7"/>
        <v>1</v>
      </c>
      <c r="F190">
        <f t="shared" si="8"/>
        <v>5</v>
      </c>
      <c r="G190" t="str">
        <f>VLOOKUP(F190,meses,2,FALSE)</f>
        <v>Maio</v>
      </c>
      <c r="H190" t="str">
        <f>VLOOKUP(F190,season,2,FALSE)</f>
        <v>Sping</v>
      </c>
    </row>
    <row r="191" spans="2:8" x14ac:dyDescent="0.2">
      <c r="B191" s="5">
        <v>38493.449819933288</v>
      </c>
      <c r="C191">
        <v>189</v>
      </c>
      <c r="D191">
        <f t="shared" si="6"/>
        <v>2005</v>
      </c>
      <c r="E191">
        <f t="shared" si="7"/>
        <v>1</v>
      </c>
      <c r="F191">
        <f t="shared" si="8"/>
        <v>5</v>
      </c>
      <c r="G191" t="str">
        <f>VLOOKUP(F191,meses,2,FALSE)</f>
        <v>Maio</v>
      </c>
      <c r="H191" t="str">
        <f>VLOOKUP(F191,season,2,FALSE)</f>
        <v>Sping</v>
      </c>
    </row>
    <row r="192" spans="2:8" x14ac:dyDescent="0.2">
      <c r="B192" s="5">
        <v>38493.805518502711</v>
      </c>
      <c r="C192">
        <v>190</v>
      </c>
      <c r="D192">
        <f t="shared" si="6"/>
        <v>2005</v>
      </c>
      <c r="E192">
        <f t="shared" si="7"/>
        <v>1</v>
      </c>
      <c r="F192">
        <f t="shared" si="8"/>
        <v>5</v>
      </c>
      <c r="G192" t="str">
        <f>VLOOKUP(F192,meses,2,FALSE)</f>
        <v>Maio</v>
      </c>
      <c r="H192" t="str">
        <f>VLOOKUP(F192,season,2,FALSE)</f>
        <v>Sping</v>
      </c>
    </row>
    <row r="193" spans="2:8" x14ac:dyDescent="0.2">
      <c r="B193" s="5">
        <v>38493.843400308841</v>
      </c>
      <c r="C193">
        <v>191</v>
      </c>
      <c r="D193">
        <f t="shared" si="6"/>
        <v>2005</v>
      </c>
      <c r="E193">
        <f t="shared" si="7"/>
        <v>1</v>
      </c>
      <c r="F193">
        <f t="shared" si="8"/>
        <v>5</v>
      </c>
      <c r="G193" t="str">
        <f>VLOOKUP(F193,meses,2,FALSE)</f>
        <v>Maio</v>
      </c>
      <c r="H193" t="str">
        <f>VLOOKUP(F193,season,2,FALSE)</f>
        <v>Sping</v>
      </c>
    </row>
    <row r="194" spans="2:8" x14ac:dyDescent="0.2">
      <c r="B194" s="5">
        <v>38493.917800438605</v>
      </c>
      <c r="C194">
        <v>192</v>
      </c>
      <c r="D194">
        <f t="shared" si="6"/>
        <v>2005</v>
      </c>
      <c r="E194">
        <f t="shared" si="7"/>
        <v>1</v>
      </c>
      <c r="F194">
        <f t="shared" si="8"/>
        <v>5</v>
      </c>
      <c r="G194" t="str">
        <f>VLOOKUP(F194,meses,2,FALSE)</f>
        <v>Maio</v>
      </c>
      <c r="H194" t="str">
        <f>VLOOKUP(F194,season,2,FALSE)</f>
        <v>Sping</v>
      </c>
    </row>
    <row r="195" spans="2:8" x14ac:dyDescent="0.2">
      <c r="B195" s="5">
        <v>38494.674012750016</v>
      </c>
      <c r="C195">
        <v>193</v>
      </c>
      <c r="D195">
        <f t="shared" si="6"/>
        <v>2005</v>
      </c>
      <c r="E195">
        <f t="shared" si="7"/>
        <v>1</v>
      </c>
      <c r="F195">
        <f t="shared" si="8"/>
        <v>5</v>
      </c>
      <c r="G195" t="str">
        <f>VLOOKUP(F195,meses,2,FALSE)</f>
        <v>Maio</v>
      </c>
      <c r="H195" t="str">
        <f>VLOOKUP(F195,season,2,FALSE)</f>
        <v>Sping</v>
      </c>
    </row>
    <row r="196" spans="2:8" x14ac:dyDescent="0.2">
      <c r="B196" s="5">
        <v>38494.851719791695</v>
      </c>
      <c r="C196">
        <v>194</v>
      </c>
      <c r="D196">
        <f t="shared" ref="D196:D259" si="9">YEAR(B196)</f>
        <v>2005</v>
      </c>
      <c r="E196">
        <f t="shared" ref="E196:E259" si="10">IF(F196&lt;7,1,2)</f>
        <v>1</v>
      </c>
      <c r="F196">
        <f t="shared" ref="F196:F259" si="11">MONTH(B196)</f>
        <v>5</v>
      </c>
      <c r="G196" t="str">
        <f>VLOOKUP(F196,meses,2,FALSE)</f>
        <v>Maio</v>
      </c>
      <c r="H196" t="str">
        <f>VLOOKUP(F196,season,2,FALSE)</f>
        <v>Sping</v>
      </c>
    </row>
    <row r="197" spans="2:8" x14ac:dyDescent="0.2">
      <c r="B197" s="5">
        <v>38495.14821551511</v>
      </c>
      <c r="C197">
        <v>195</v>
      </c>
      <c r="D197">
        <f t="shared" si="9"/>
        <v>2005</v>
      </c>
      <c r="E197">
        <f t="shared" si="10"/>
        <v>1</v>
      </c>
      <c r="F197">
        <f t="shared" si="11"/>
        <v>5</v>
      </c>
      <c r="G197" t="str">
        <f>VLOOKUP(F197,meses,2,FALSE)</f>
        <v>Maio</v>
      </c>
      <c r="H197" t="str">
        <f>VLOOKUP(F197,season,2,FALSE)</f>
        <v>Sping</v>
      </c>
    </row>
    <row r="198" spans="2:8" x14ac:dyDescent="0.2">
      <c r="B198" s="5">
        <v>38495.391818097865</v>
      </c>
      <c r="C198">
        <v>196</v>
      </c>
      <c r="D198">
        <f t="shared" si="9"/>
        <v>2005</v>
      </c>
      <c r="E198">
        <f t="shared" si="10"/>
        <v>1</v>
      </c>
      <c r="F198">
        <f t="shared" si="11"/>
        <v>5</v>
      </c>
      <c r="G198" t="str">
        <f>VLOOKUP(F198,meses,2,FALSE)</f>
        <v>Maio</v>
      </c>
      <c r="H198" t="str">
        <f>VLOOKUP(F198,season,2,FALSE)</f>
        <v>Sping</v>
      </c>
    </row>
    <row r="199" spans="2:8" x14ac:dyDescent="0.2">
      <c r="B199" s="5">
        <v>38496.547692689717</v>
      </c>
      <c r="C199">
        <v>197</v>
      </c>
      <c r="D199">
        <f t="shared" si="9"/>
        <v>2005</v>
      </c>
      <c r="E199">
        <f t="shared" si="10"/>
        <v>1</v>
      </c>
      <c r="F199">
        <f t="shared" si="11"/>
        <v>5</v>
      </c>
      <c r="G199" t="str">
        <f>VLOOKUP(F199,meses,2,FALSE)</f>
        <v>Maio</v>
      </c>
      <c r="H199" t="str">
        <f>VLOOKUP(F199,season,2,FALSE)</f>
        <v>Sping</v>
      </c>
    </row>
    <row r="200" spans="2:8" x14ac:dyDescent="0.2">
      <c r="B200" s="5">
        <v>38496.64478718835</v>
      </c>
      <c r="C200">
        <v>198</v>
      </c>
      <c r="D200">
        <f t="shared" si="9"/>
        <v>2005</v>
      </c>
      <c r="E200">
        <f t="shared" si="10"/>
        <v>1</v>
      </c>
      <c r="F200">
        <f t="shared" si="11"/>
        <v>5</v>
      </c>
      <c r="G200" t="str">
        <f>VLOOKUP(F200,meses,2,FALSE)</f>
        <v>Maio</v>
      </c>
      <c r="H200" t="str">
        <f>VLOOKUP(F200,season,2,FALSE)</f>
        <v>Sping</v>
      </c>
    </row>
    <row r="201" spans="2:8" x14ac:dyDescent="0.2">
      <c r="B201" s="5">
        <v>38496.79021225535</v>
      </c>
      <c r="C201">
        <v>199</v>
      </c>
      <c r="D201">
        <f t="shared" si="9"/>
        <v>2005</v>
      </c>
      <c r="E201">
        <f t="shared" si="10"/>
        <v>1</v>
      </c>
      <c r="F201">
        <f t="shared" si="11"/>
        <v>5</v>
      </c>
      <c r="G201" t="str">
        <f>VLOOKUP(F201,meses,2,FALSE)</f>
        <v>Maio</v>
      </c>
      <c r="H201" t="str">
        <f>VLOOKUP(F201,season,2,FALSE)</f>
        <v>Sping</v>
      </c>
    </row>
    <row r="202" spans="2:8" x14ac:dyDescent="0.2">
      <c r="B202" s="5">
        <v>38496.888849075796</v>
      </c>
      <c r="C202">
        <v>200</v>
      </c>
      <c r="D202">
        <f t="shared" si="9"/>
        <v>2005</v>
      </c>
      <c r="E202">
        <f t="shared" si="10"/>
        <v>1</v>
      </c>
      <c r="F202">
        <f t="shared" si="11"/>
        <v>5</v>
      </c>
      <c r="G202" t="str">
        <f>VLOOKUP(F202,meses,2,FALSE)</f>
        <v>Maio</v>
      </c>
      <c r="H202" t="str">
        <f>VLOOKUP(F202,season,2,FALSE)</f>
        <v>Sping</v>
      </c>
    </row>
    <row r="203" spans="2:8" x14ac:dyDescent="0.2">
      <c r="B203" s="5">
        <v>38496.938018237124</v>
      </c>
      <c r="C203">
        <v>201</v>
      </c>
      <c r="D203">
        <f t="shared" si="9"/>
        <v>2005</v>
      </c>
      <c r="E203">
        <f t="shared" si="10"/>
        <v>1</v>
      </c>
      <c r="F203">
        <f t="shared" si="11"/>
        <v>5</v>
      </c>
      <c r="G203" t="str">
        <f>VLOOKUP(F203,meses,2,FALSE)</f>
        <v>Maio</v>
      </c>
      <c r="H203" t="str">
        <f>VLOOKUP(F203,season,2,FALSE)</f>
        <v>Sping</v>
      </c>
    </row>
    <row r="204" spans="2:8" x14ac:dyDescent="0.2">
      <c r="B204" s="5">
        <v>38497.045827023547</v>
      </c>
      <c r="C204">
        <v>202</v>
      </c>
      <c r="D204">
        <f t="shared" si="9"/>
        <v>2005</v>
      </c>
      <c r="E204">
        <f t="shared" si="10"/>
        <v>1</v>
      </c>
      <c r="F204">
        <f t="shared" si="11"/>
        <v>5</v>
      </c>
      <c r="G204" t="str">
        <f>VLOOKUP(F204,meses,2,FALSE)</f>
        <v>Maio</v>
      </c>
      <c r="H204" t="str">
        <f>VLOOKUP(F204,season,2,FALSE)</f>
        <v>Sping</v>
      </c>
    </row>
    <row r="205" spans="2:8" x14ac:dyDescent="0.2">
      <c r="B205" s="5">
        <v>38497.276219242434</v>
      </c>
      <c r="C205">
        <v>203</v>
      </c>
      <c r="D205">
        <f t="shared" si="9"/>
        <v>2005</v>
      </c>
      <c r="E205">
        <f t="shared" si="10"/>
        <v>1</v>
      </c>
      <c r="F205">
        <f t="shared" si="11"/>
        <v>5</v>
      </c>
      <c r="G205" t="str">
        <f>VLOOKUP(F205,meses,2,FALSE)</f>
        <v>Maio</v>
      </c>
      <c r="H205" t="str">
        <f>VLOOKUP(F205,season,2,FALSE)</f>
        <v>Sping</v>
      </c>
    </row>
    <row r="206" spans="2:8" x14ac:dyDescent="0.2">
      <c r="B206" s="5">
        <v>38497.305965282452</v>
      </c>
      <c r="C206">
        <v>204</v>
      </c>
      <c r="D206">
        <f t="shared" si="9"/>
        <v>2005</v>
      </c>
      <c r="E206">
        <f t="shared" si="10"/>
        <v>1</v>
      </c>
      <c r="F206">
        <f t="shared" si="11"/>
        <v>5</v>
      </c>
      <c r="G206" t="str">
        <f>VLOOKUP(F206,meses,2,FALSE)</f>
        <v>Maio</v>
      </c>
      <c r="H206" t="str">
        <f>VLOOKUP(F206,season,2,FALSE)</f>
        <v>Sping</v>
      </c>
    </row>
    <row r="207" spans="2:8" x14ac:dyDescent="0.2">
      <c r="B207" s="5">
        <v>38497.326676142555</v>
      </c>
      <c r="C207">
        <v>205</v>
      </c>
      <c r="D207">
        <f t="shared" si="9"/>
        <v>2005</v>
      </c>
      <c r="E207">
        <f t="shared" si="10"/>
        <v>1</v>
      </c>
      <c r="F207">
        <f t="shared" si="11"/>
        <v>5</v>
      </c>
      <c r="G207" t="str">
        <f>VLOOKUP(F207,meses,2,FALSE)</f>
        <v>Maio</v>
      </c>
      <c r="H207" t="str">
        <f>VLOOKUP(F207,season,2,FALSE)</f>
        <v>Sping</v>
      </c>
    </row>
    <row r="208" spans="2:8" x14ac:dyDescent="0.2">
      <c r="B208" s="5">
        <v>38497.358318025108</v>
      </c>
      <c r="C208">
        <v>206</v>
      </c>
      <c r="D208">
        <f t="shared" si="9"/>
        <v>2005</v>
      </c>
      <c r="E208">
        <f t="shared" si="10"/>
        <v>1</v>
      </c>
      <c r="F208">
        <f t="shared" si="11"/>
        <v>5</v>
      </c>
      <c r="G208" t="str">
        <f>VLOOKUP(F208,meses,2,FALSE)</f>
        <v>Maio</v>
      </c>
      <c r="H208" t="str">
        <f>VLOOKUP(F208,season,2,FALSE)</f>
        <v>Sping</v>
      </c>
    </row>
    <row r="209" spans="2:8" x14ac:dyDescent="0.2">
      <c r="B209" s="5">
        <v>38497.47777404228</v>
      </c>
      <c r="C209">
        <v>207</v>
      </c>
      <c r="D209">
        <f t="shared" si="9"/>
        <v>2005</v>
      </c>
      <c r="E209">
        <f t="shared" si="10"/>
        <v>1</v>
      </c>
      <c r="F209">
        <f t="shared" si="11"/>
        <v>5</v>
      </c>
      <c r="G209" t="str">
        <f>VLOOKUP(F209,meses,2,FALSE)</f>
        <v>Maio</v>
      </c>
      <c r="H209" t="str">
        <f>VLOOKUP(F209,season,2,FALSE)</f>
        <v>Sping</v>
      </c>
    </row>
    <row r="210" spans="2:8" x14ac:dyDescent="0.2">
      <c r="B210" s="5">
        <v>38498.200421790229</v>
      </c>
      <c r="C210">
        <v>208</v>
      </c>
      <c r="D210">
        <f t="shared" si="9"/>
        <v>2005</v>
      </c>
      <c r="E210">
        <f t="shared" si="10"/>
        <v>1</v>
      </c>
      <c r="F210">
        <f t="shared" si="11"/>
        <v>5</v>
      </c>
      <c r="G210" t="str">
        <f>VLOOKUP(F210,meses,2,FALSE)</f>
        <v>Maio</v>
      </c>
      <c r="H210" t="str">
        <f>VLOOKUP(F210,season,2,FALSE)</f>
        <v>Sping</v>
      </c>
    </row>
    <row r="211" spans="2:8" x14ac:dyDescent="0.2">
      <c r="B211" s="5">
        <v>38498.584276927933</v>
      </c>
      <c r="C211">
        <v>209</v>
      </c>
      <c r="D211">
        <f t="shared" si="9"/>
        <v>2005</v>
      </c>
      <c r="E211">
        <f t="shared" si="10"/>
        <v>1</v>
      </c>
      <c r="F211">
        <f t="shared" si="11"/>
        <v>5</v>
      </c>
      <c r="G211" t="str">
        <f>VLOOKUP(F211,meses,2,FALSE)</f>
        <v>Maio</v>
      </c>
      <c r="H211" t="str">
        <f>VLOOKUP(F211,season,2,FALSE)</f>
        <v>Sping</v>
      </c>
    </row>
    <row r="212" spans="2:8" x14ac:dyDescent="0.2">
      <c r="B212" s="5">
        <v>38498.715392262464</v>
      </c>
      <c r="C212">
        <v>210</v>
      </c>
      <c r="D212">
        <f t="shared" si="9"/>
        <v>2005</v>
      </c>
      <c r="E212">
        <f t="shared" si="10"/>
        <v>1</v>
      </c>
      <c r="F212">
        <f t="shared" si="11"/>
        <v>5</v>
      </c>
      <c r="G212" t="str">
        <f>VLOOKUP(F212,meses,2,FALSE)</f>
        <v>Maio</v>
      </c>
      <c r="H212" t="str">
        <f>VLOOKUP(F212,season,2,FALSE)</f>
        <v>Sping</v>
      </c>
    </row>
    <row r="213" spans="2:8" x14ac:dyDescent="0.2">
      <c r="B213" s="5">
        <v>38498.760813206914</v>
      </c>
      <c r="C213">
        <v>211</v>
      </c>
      <c r="D213">
        <f t="shared" si="9"/>
        <v>2005</v>
      </c>
      <c r="E213">
        <f t="shared" si="10"/>
        <v>1</v>
      </c>
      <c r="F213">
        <f t="shared" si="11"/>
        <v>5</v>
      </c>
      <c r="G213" t="str">
        <f>VLOOKUP(F213,meses,2,FALSE)</f>
        <v>Maio</v>
      </c>
      <c r="H213" t="str">
        <f>VLOOKUP(F213,season,2,FALSE)</f>
        <v>Sping</v>
      </c>
    </row>
    <row r="214" spans="2:8" x14ac:dyDescent="0.2">
      <c r="B214" s="5">
        <v>38498.800601855546</v>
      </c>
      <c r="C214">
        <v>212</v>
      </c>
      <c r="D214">
        <f t="shared" si="9"/>
        <v>2005</v>
      </c>
      <c r="E214">
        <f t="shared" si="10"/>
        <v>1</v>
      </c>
      <c r="F214">
        <f t="shared" si="11"/>
        <v>5</v>
      </c>
      <c r="G214" t="str">
        <f>VLOOKUP(F214,meses,2,FALSE)</f>
        <v>Maio</v>
      </c>
      <c r="H214" t="str">
        <f>VLOOKUP(F214,season,2,FALSE)</f>
        <v>Sping</v>
      </c>
    </row>
    <row r="215" spans="2:8" x14ac:dyDescent="0.2">
      <c r="B215" s="5">
        <v>38499.125785491044</v>
      </c>
      <c r="C215">
        <v>213</v>
      </c>
      <c r="D215">
        <f t="shared" si="9"/>
        <v>2005</v>
      </c>
      <c r="E215">
        <f t="shared" si="10"/>
        <v>1</v>
      </c>
      <c r="F215">
        <f t="shared" si="11"/>
        <v>5</v>
      </c>
      <c r="G215" t="str">
        <f>VLOOKUP(F215,meses,2,FALSE)</f>
        <v>Maio</v>
      </c>
      <c r="H215" t="str">
        <f>VLOOKUP(F215,season,2,FALSE)</f>
        <v>Sping</v>
      </c>
    </row>
    <row r="216" spans="2:8" x14ac:dyDescent="0.2">
      <c r="B216" s="5">
        <v>38499.589934628842</v>
      </c>
      <c r="C216">
        <v>214</v>
      </c>
      <c r="D216">
        <f t="shared" si="9"/>
        <v>2005</v>
      </c>
      <c r="E216">
        <f t="shared" si="10"/>
        <v>1</v>
      </c>
      <c r="F216">
        <f t="shared" si="11"/>
        <v>5</v>
      </c>
      <c r="G216" t="str">
        <f>VLOOKUP(F216,meses,2,FALSE)</f>
        <v>Maio</v>
      </c>
      <c r="H216" t="str">
        <f>VLOOKUP(F216,season,2,FALSE)</f>
        <v>Sping</v>
      </c>
    </row>
    <row r="217" spans="2:8" x14ac:dyDescent="0.2">
      <c r="B217" s="5">
        <v>38500.926577331644</v>
      </c>
      <c r="C217">
        <v>215</v>
      </c>
      <c r="D217">
        <f t="shared" si="9"/>
        <v>2005</v>
      </c>
      <c r="E217">
        <f t="shared" si="10"/>
        <v>1</v>
      </c>
      <c r="F217">
        <f t="shared" si="11"/>
        <v>5</v>
      </c>
      <c r="G217" t="str">
        <f>VLOOKUP(F217,meses,2,FALSE)</f>
        <v>Maio</v>
      </c>
      <c r="H217" t="str">
        <f>VLOOKUP(F217,season,2,FALSE)</f>
        <v>Sping</v>
      </c>
    </row>
    <row r="218" spans="2:8" x14ac:dyDescent="0.2">
      <c r="B218" s="5">
        <v>38501.335737105554</v>
      </c>
      <c r="C218">
        <v>216</v>
      </c>
      <c r="D218">
        <f t="shared" si="9"/>
        <v>2005</v>
      </c>
      <c r="E218">
        <f t="shared" si="10"/>
        <v>1</v>
      </c>
      <c r="F218">
        <f t="shared" si="11"/>
        <v>5</v>
      </c>
      <c r="G218" t="str">
        <f>VLOOKUP(F218,meses,2,FALSE)</f>
        <v>Maio</v>
      </c>
      <c r="H218" t="str">
        <f>VLOOKUP(F218,season,2,FALSE)</f>
        <v>Sping</v>
      </c>
    </row>
    <row r="219" spans="2:8" x14ac:dyDescent="0.2">
      <c r="B219" s="5">
        <v>38501.347451887261</v>
      </c>
      <c r="C219">
        <v>217</v>
      </c>
      <c r="D219">
        <f t="shared" si="9"/>
        <v>2005</v>
      </c>
      <c r="E219">
        <f t="shared" si="10"/>
        <v>1</v>
      </c>
      <c r="F219">
        <f t="shared" si="11"/>
        <v>5</v>
      </c>
      <c r="G219" t="str">
        <f>VLOOKUP(F219,meses,2,FALSE)</f>
        <v>Maio</v>
      </c>
      <c r="H219" t="str">
        <f>VLOOKUP(F219,season,2,FALSE)</f>
        <v>Sping</v>
      </c>
    </row>
    <row r="220" spans="2:8" x14ac:dyDescent="0.2">
      <c r="B220" s="5">
        <v>38501.490702923089</v>
      </c>
      <c r="C220">
        <v>218</v>
      </c>
      <c r="D220">
        <f t="shared" si="9"/>
        <v>2005</v>
      </c>
      <c r="E220">
        <f t="shared" si="10"/>
        <v>1</v>
      </c>
      <c r="F220">
        <f t="shared" si="11"/>
        <v>5</v>
      </c>
      <c r="G220" t="str">
        <f>VLOOKUP(F220,meses,2,FALSE)</f>
        <v>Maio</v>
      </c>
      <c r="H220" t="str">
        <f>VLOOKUP(F220,season,2,FALSE)</f>
        <v>Sping</v>
      </c>
    </row>
    <row r="221" spans="2:8" x14ac:dyDescent="0.2">
      <c r="B221" s="5">
        <v>38501.869321122882</v>
      </c>
      <c r="C221">
        <v>219</v>
      </c>
      <c r="D221">
        <f t="shared" si="9"/>
        <v>2005</v>
      </c>
      <c r="E221">
        <f t="shared" si="10"/>
        <v>1</v>
      </c>
      <c r="F221">
        <f t="shared" si="11"/>
        <v>5</v>
      </c>
      <c r="G221" t="str">
        <f>VLOOKUP(F221,meses,2,FALSE)</f>
        <v>Maio</v>
      </c>
      <c r="H221" t="str">
        <f>VLOOKUP(F221,season,2,FALSE)</f>
        <v>Sping</v>
      </c>
    </row>
    <row r="222" spans="2:8" x14ac:dyDescent="0.2">
      <c r="B222" s="5">
        <v>38502.27775977274</v>
      </c>
      <c r="C222">
        <v>220</v>
      </c>
      <c r="D222">
        <f t="shared" si="9"/>
        <v>2005</v>
      </c>
      <c r="E222">
        <f t="shared" si="10"/>
        <v>1</v>
      </c>
      <c r="F222">
        <f t="shared" si="11"/>
        <v>5</v>
      </c>
      <c r="G222" t="str">
        <f>VLOOKUP(F222,meses,2,FALSE)</f>
        <v>Maio</v>
      </c>
      <c r="H222" t="str">
        <f>VLOOKUP(F222,season,2,FALSE)</f>
        <v>Sping</v>
      </c>
    </row>
    <row r="223" spans="2:8" x14ac:dyDescent="0.2">
      <c r="B223" s="5">
        <v>38502.35382845714</v>
      </c>
      <c r="C223">
        <v>221</v>
      </c>
      <c r="D223">
        <f t="shared" si="9"/>
        <v>2005</v>
      </c>
      <c r="E223">
        <f t="shared" si="10"/>
        <v>1</v>
      </c>
      <c r="F223">
        <f t="shared" si="11"/>
        <v>5</v>
      </c>
      <c r="G223" t="str">
        <f>VLOOKUP(F223,meses,2,FALSE)</f>
        <v>Maio</v>
      </c>
      <c r="H223" t="str">
        <f>VLOOKUP(F223,season,2,FALSE)</f>
        <v>Sping</v>
      </c>
    </row>
    <row r="224" spans="2:8" x14ac:dyDescent="0.2">
      <c r="B224" s="5">
        <v>38502.501469305447</v>
      </c>
      <c r="C224">
        <v>222</v>
      </c>
      <c r="D224">
        <f t="shared" si="9"/>
        <v>2005</v>
      </c>
      <c r="E224">
        <f t="shared" si="10"/>
        <v>1</v>
      </c>
      <c r="F224">
        <f t="shared" si="11"/>
        <v>5</v>
      </c>
      <c r="G224" t="str">
        <f>VLOOKUP(F224,meses,2,FALSE)</f>
        <v>Maio</v>
      </c>
      <c r="H224" t="str">
        <f>VLOOKUP(F224,season,2,FALSE)</f>
        <v>Sping</v>
      </c>
    </row>
    <row r="225" spans="2:8" x14ac:dyDescent="0.2">
      <c r="B225" s="5">
        <v>38502.563020479603</v>
      </c>
      <c r="C225">
        <v>223</v>
      </c>
      <c r="D225">
        <f t="shared" si="9"/>
        <v>2005</v>
      </c>
      <c r="E225">
        <f t="shared" si="10"/>
        <v>1</v>
      </c>
      <c r="F225">
        <f t="shared" si="11"/>
        <v>5</v>
      </c>
      <c r="G225" t="str">
        <f>VLOOKUP(F225,meses,2,FALSE)</f>
        <v>Maio</v>
      </c>
      <c r="H225" t="str">
        <f>VLOOKUP(F225,season,2,FALSE)</f>
        <v>Sping</v>
      </c>
    </row>
    <row r="226" spans="2:8" x14ac:dyDescent="0.2">
      <c r="B226" s="5">
        <v>38502.87906490692</v>
      </c>
      <c r="C226">
        <v>224</v>
      </c>
      <c r="D226">
        <f t="shared" si="9"/>
        <v>2005</v>
      </c>
      <c r="E226">
        <f t="shared" si="10"/>
        <v>1</v>
      </c>
      <c r="F226">
        <f t="shared" si="11"/>
        <v>5</v>
      </c>
      <c r="G226" t="str">
        <f>VLOOKUP(F226,meses,2,FALSE)</f>
        <v>Maio</v>
      </c>
      <c r="H226" t="str">
        <f>VLOOKUP(F226,season,2,FALSE)</f>
        <v>Sping</v>
      </c>
    </row>
    <row r="227" spans="2:8" x14ac:dyDescent="0.2">
      <c r="B227" s="5">
        <v>38503.003864335449</v>
      </c>
      <c r="C227">
        <v>225</v>
      </c>
      <c r="D227">
        <f t="shared" si="9"/>
        <v>2005</v>
      </c>
      <c r="E227">
        <f t="shared" si="10"/>
        <v>1</v>
      </c>
      <c r="F227">
        <f t="shared" si="11"/>
        <v>5</v>
      </c>
      <c r="G227" t="str">
        <f>VLOOKUP(F227,meses,2,FALSE)</f>
        <v>Maio</v>
      </c>
      <c r="H227" t="str">
        <f>VLOOKUP(F227,season,2,FALSE)</f>
        <v>Sping</v>
      </c>
    </row>
    <row r="228" spans="2:8" x14ac:dyDescent="0.2">
      <c r="B228" s="5">
        <v>38503.136591256596</v>
      </c>
      <c r="C228">
        <v>226</v>
      </c>
      <c r="D228">
        <f t="shared" si="9"/>
        <v>2005</v>
      </c>
      <c r="E228">
        <f t="shared" si="10"/>
        <v>1</v>
      </c>
      <c r="F228">
        <f t="shared" si="11"/>
        <v>5</v>
      </c>
      <c r="G228" t="str">
        <f>VLOOKUP(F228,meses,2,FALSE)</f>
        <v>Maio</v>
      </c>
      <c r="H228" t="str">
        <f>VLOOKUP(F228,season,2,FALSE)</f>
        <v>Sping</v>
      </c>
    </row>
    <row r="229" spans="2:8" x14ac:dyDescent="0.2">
      <c r="B229" s="5">
        <v>38503.173432557211</v>
      </c>
      <c r="C229">
        <v>227</v>
      </c>
      <c r="D229">
        <f t="shared" si="9"/>
        <v>2005</v>
      </c>
      <c r="E229">
        <f t="shared" si="10"/>
        <v>1</v>
      </c>
      <c r="F229">
        <f t="shared" si="11"/>
        <v>5</v>
      </c>
      <c r="G229" t="str">
        <f>VLOOKUP(F229,meses,2,FALSE)</f>
        <v>Maio</v>
      </c>
      <c r="H229" t="str">
        <f>VLOOKUP(F229,season,2,FALSE)</f>
        <v>Sping</v>
      </c>
    </row>
    <row r="230" spans="2:8" x14ac:dyDescent="0.2">
      <c r="B230" s="5">
        <v>38503.371050115624</v>
      </c>
      <c r="C230">
        <v>228</v>
      </c>
      <c r="D230">
        <f t="shared" si="9"/>
        <v>2005</v>
      </c>
      <c r="E230">
        <f t="shared" si="10"/>
        <v>1</v>
      </c>
      <c r="F230">
        <f t="shared" si="11"/>
        <v>5</v>
      </c>
      <c r="G230" t="str">
        <f>VLOOKUP(F230,meses,2,FALSE)</f>
        <v>Maio</v>
      </c>
      <c r="H230" t="str">
        <f>VLOOKUP(F230,season,2,FALSE)</f>
        <v>Sping</v>
      </c>
    </row>
    <row r="231" spans="2:8" x14ac:dyDescent="0.2">
      <c r="B231" s="5">
        <v>38503.869903854546</v>
      </c>
      <c r="C231">
        <v>229</v>
      </c>
      <c r="D231">
        <f t="shared" si="9"/>
        <v>2005</v>
      </c>
      <c r="E231">
        <f t="shared" si="10"/>
        <v>1</v>
      </c>
      <c r="F231">
        <f t="shared" si="11"/>
        <v>5</v>
      </c>
      <c r="G231" t="str">
        <f>VLOOKUP(F231,meses,2,FALSE)</f>
        <v>Maio</v>
      </c>
      <c r="H231" t="str">
        <f>VLOOKUP(F231,season,2,FALSE)</f>
        <v>Sping</v>
      </c>
    </row>
    <row r="232" spans="2:8" x14ac:dyDescent="0.2">
      <c r="B232" s="5">
        <v>38504.067585266901</v>
      </c>
      <c r="C232">
        <v>230</v>
      </c>
      <c r="D232">
        <f t="shared" si="9"/>
        <v>2005</v>
      </c>
      <c r="E232">
        <f t="shared" si="10"/>
        <v>1</v>
      </c>
      <c r="F232">
        <f t="shared" si="11"/>
        <v>6</v>
      </c>
      <c r="G232" t="str">
        <f>VLOOKUP(F232,meses,2,FALSE)</f>
        <v>Junho</v>
      </c>
      <c r="H232" t="str">
        <f>VLOOKUP(F232,season,2,FALSE)</f>
        <v>Summer</v>
      </c>
    </row>
    <row r="233" spans="2:8" x14ac:dyDescent="0.2">
      <c r="B233" s="5">
        <v>38504.074215622015</v>
      </c>
      <c r="C233">
        <v>231</v>
      </c>
      <c r="D233">
        <f t="shared" si="9"/>
        <v>2005</v>
      </c>
      <c r="E233">
        <f t="shared" si="10"/>
        <v>1</v>
      </c>
      <c r="F233">
        <f t="shared" si="11"/>
        <v>6</v>
      </c>
      <c r="G233" t="str">
        <f>VLOOKUP(F233,meses,2,FALSE)</f>
        <v>Junho</v>
      </c>
      <c r="H233" t="str">
        <f>VLOOKUP(F233,season,2,FALSE)</f>
        <v>Summer</v>
      </c>
    </row>
    <row r="234" spans="2:8" x14ac:dyDescent="0.2">
      <c r="B234" s="5">
        <v>38504.635257218477</v>
      </c>
      <c r="C234">
        <v>232</v>
      </c>
      <c r="D234">
        <f t="shared" si="9"/>
        <v>2005</v>
      </c>
      <c r="E234">
        <f t="shared" si="10"/>
        <v>1</v>
      </c>
      <c r="F234">
        <f t="shared" si="11"/>
        <v>6</v>
      </c>
      <c r="G234" t="str">
        <f>VLOOKUP(F234,meses,2,FALSE)</f>
        <v>Junho</v>
      </c>
      <c r="H234" t="str">
        <f>VLOOKUP(F234,season,2,FALSE)</f>
        <v>Summer</v>
      </c>
    </row>
    <row r="235" spans="2:8" x14ac:dyDescent="0.2">
      <c r="B235" s="5">
        <v>38504.654792510148</v>
      </c>
      <c r="C235">
        <v>233</v>
      </c>
      <c r="D235">
        <f t="shared" si="9"/>
        <v>2005</v>
      </c>
      <c r="E235">
        <f t="shared" si="10"/>
        <v>1</v>
      </c>
      <c r="F235">
        <f t="shared" si="11"/>
        <v>6</v>
      </c>
      <c r="G235" t="str">
        <f>VLOOKUP(F235,meses,2,FALSE)</f>
        <v>Junho</v>
      </c>
      <c r="H235" t="str">
        <f>VLOOKUP(F235,season,2,FALSE)</f>
        <v>Summer</v>
      </c>
    </row>
    <row r="236" spans="2:8" x14ac:dyDescent="0.2">
      <c r="B236" s="5">
        <v>38504.921763153936</v>
      </c>
      <c r="C236">
        <v>234</v>
      </c>
      <c r="D236">
        <f t="shared" si="9"/>
        <v>2005</v>
      </c>
      <c r="E236">
        <f t="shared" si="10"/>
        <v>1</v>
      </c>
      <c r="F236">
        <f t="shared" si="11"/>
        <v>6</v>
      </c>
      <c r="G236" t="str">
        <f>VLOOKUP(F236,meses,2,FALSE)</f>
        <v>Junho</v>
      </c>
      <c r="H236" t="str">
        <f>VLOOKUP(F236,season,2,FALSE)</f>
        <v>Summer</v>
      </c>
    </row>
    <row r="237" spans="2:8" x14ac:dyDescent="0.2">
      <c r="B237" s="5">
        <v>38505.597972810996</v>
      </c>
      <c r="C237">
        <v>235</v>
      </c>
      <c r="D237">
        <f t="shared" si="9"/>
        <v>2005</v>
      </c>
      <c r="E237">
        <f t="shared" si="10"/>
        <v>1</v>
      </c>
      <c r="F237">
        <f t="shared" si="11"/>
        <v>6</v>
      </c>
      <c r="G237" t="str">
        <f>VLOOKUP(F237,meses,2,FALSE)</f>
        <v>Junho</v>
      </c>
      <c r="H237" t="str">
        <f>VLOOKUP(F237,season,2,FALSE)</f>
        <v>Summer</v>
      </c>
    </row>
    <row r="238" spans="2:8" x14ac:dyDescent="0.2">
      <c r="B238" s="5">
        <v>38506</v>
      </c>
      <c r="C238">
        <v>236</v>
      </c>
      <c r="D238">
        <f t="shared" si="9"/>
        <v>2005</v>
      </c>
      <c r="E238">
        <f t="shared" si="10"/>
        <v>1</v>
      </c>
      <c r="F238">
        <f t="shared" si="11"/>
        <v>6</v>
      </c>
      <c r="G238" t="str">
        <f>VLOOKUP(F238,meses,2,FALSE)</f>
        <v>Junho</v>
      </c>
      <c r="H238" t="str">
        <f>VLOOKUP(F238,season,2,FALSE)</f>
        <v>Summer</v>
      </c>
    </row>
    <row r="239" spans="2:8" x14ac:dyDescent="0.2">
      <c r="B239" s="5">
        <v>38506.143543018843</v>
      </c>
      <c r="C239">
        <v>237</v>
      </c>
      <c r="D239">
        <f t="shared" si="9"/>
        <v>2005</v>
      </c>
      <c r="E239">
        <f t="shared" si="10"/>
        <v>1</v>
      </c>
      <c r="F239">
        <f t="shared" si="11"/>
        <v>6</v>
      </c>
      <c r="G239" t="str">
        <f>VLOOKUP(F239,meses,2,FALSE)</f>
        <v>Junho</v>
      </c>
      <c r="H239" t="str">
        <f>VLOOKUP(F239,season,2,FALSE)</f>
        <v>Summer</v>
      </c>
    </row>
    <row r="240" spans="2:8" x14ac:dyDescent="0.2">
      <c r="B240" s="5">
        <v>38506.423691498007</v>
      </c>
      <c r="C240">
        <v>238</v>
      </c>
      <c r="D240">
        <f t="shared" si="9"/>
        <v>2005</v>
      </c>
      <c r="E240">
        <f t="shared" si="10"/>
        <v>1</v>
      </c>
      <c r="F240">
        <f t="shared" si="11"/>
        <v>6</v>
      </c>
      <c r="G240" t="str">
        <f>VLOOKUP(F240,meses,2,FALSE)</f>
        <v>Junho</v>
      </c>
      <c r="H240" t="str">
        <f>VLOOKUP(F240,season,2,FALSE)</f>
        <v>Summer</v>
      </c>
    </row>
    <row r="241" spans="2:8" x14ac:dyDescent="0.2">
      <c r="B241" s="5">
        <v>38506.446749428695</v>
      </c>
      <c r="C241">
        <v>239</v>
      </c>
      <c r="D241">
        <f t="shared" si="9"/>
        <v>2005</v>
      </c>
      <c r="E241">
        <f t="shared" si="10"/>
        <v>1</v>
      </c>
      <c r="F241">
        <f t="shared" si="11"/>
        <v>6</v>
      </c>
      <c r="G241" t="str">
        <f>VLOOKUP(F241,meses,2,FALSE)</f>
        <v>Junho</v>
      </c>
      <c r="H241" t="str">
        <f>VLOOKUP(F241,season,2,FALSE)</f>
        <v>Summer</v>
      </c>
    </row>
    <row r="242" spans="2:8" x14ac:dyDescent="0.2">
      <c r="B242" s="5">
        <v>38507.173857865411</v>
      </c>
      <c r="C242">
        <v>240</v>
      </c>
      <c r="D242">
        <f t="shared" si="9"/>
        <v>2005</v>
      </c>
      <c r="E242">
        <f t="shared" si="10"/>
        <v>1</v>
      </c>
      <c r="F242">
        <f t="shared" si="11"/>
        <v>6</v>
      </c>
      <c r="G242" t="str">
        <f>VLOOKUP(F242,meses,2,FALSE)</f>
        <v>Junho</v>
      </c>
      <c r="H242" t="str">
        <f>VLOOKUP(F242,season,2,FALSE)</f>
        <v>Summer</v>
      </c>
    </row>
    <row r="243" spans="2:8" x14ac:dyDescent="0.2">
      <c r="B243" s="5">
        <v>38507.437945037615</v>
      </c>
      <c r="C243">
        <v>241</v>
      </c>
      <c r="D243">
        <f t="shared" si="9"/>
        <v>2005</v>
      </c>
      <c r="E243">
        <f t="shared" si="10"/>
        <v>1</v>
      </c>
      <c r="F243">
        <f t="shared" si="11"/>
        <v>6</v>
      </c>
      <c r="G243" t="str">
        <f>VLOOKUP(F243,meses,2,FALSE)</f>
        <v>Junho</v>
      </c>
      <c r="H243" t="str">
        <f>VLOOKUP(F243,season,2,FALSE)</f>
        <v>Summer</v>
      </c>
    </row>
    <row r="244" spans="2:8" x14ac:dyDescent="0.2">
      <c r="B244" s="5">
        <v>38508.094898498486</v>
      </c>
      <c r="C244">
        <v>242</v>
      </c>
      <c r="D244">
        <f t="shared" si="9"/>
        <v>2005</v>
      </c>
      <c r="E244">
        <f t="shared" si="10"/>
        <v>1</v>
      </c>
      <c r="F244">
        <f t="shared" si="11"/>
        <v>6</v>
      </c>
      <c r="G244" t="str">
        <f>VLOOKUP(F244,meses,2,FALSE)</f>
        <v>Junho</v>
      </c>
      <c r="H244" t="str">
        <f>VLOOKUP(F244,season,2,FALSE)</f>
        <v>Summer</v>
      </c>
    </row>
    <row r="245" spans="2:8" x14ac:dyDescent="0.2">
      <c r="B245" s="5">
        <v>38509.026757659543</v>
      </c>
      <c r="C245">
        <v>243</v>
      </c>
      <c r="D245">
        <f t="shared" si="9"/>
        <v>2005</v>
      </c>
      <c r="E245">
        <f t="shared" si="10"/>
        <v>1</v>
      </c>
      <c r="F245">
        <f t="shared" si="11"/>
        <v>6</v>
      </c>
      <c r="G245" t="str">
        <f>VLOOKUP(F245,meses,2,FALSE)</f>
        <v>Junho</v>
      </c>
      <c r="H245" t="str">
        <f>VLOOKUP(F245,season,2,FALSE)</f>
        <v>Summer</v>
      </c>
    </row>
    <row r="246" spans="2:8" x14ac:dyDescent="0.2">
      <c r="B246" s="5">
        <v>38509.904475907511</v>
      </c>
      <c r="C246">
        <v>244</v>
      </c>
      <c r="D246">
        <f t="shared" si="9"/>
        <v>2005</v>
      </c>
      <c r="E246">
        <f t="shared" si="10"/>
        <v>1</v>
      </c>
      <c r="F246">
        <f t="shared" si="11"/>
        <v>6</v>
      </c>
      <c r="G246" t="str">
        <f>VLOOKUP(F246,meses,2,FALSE)</f>
        <v>Junho</v>
      </c>
      <c r="H246" t="str">
        <f>VLOOKUP(F246,season,2,FALSE)</f>
        <v>Summer</v>
      </c>
    </row>
    <row r="247" spans="2:8" x14ac:dyDescent="0.2">
      <c r="B247" s="5">
        <v>38510.082057853186</v>
      </c>
      <c r="C247">
        <v>245</v>
      </c>
      <c r="D247">
        <f t="shared" si="9"/>
        <v>2005</v>
      </c>
      <c r="E247">
        <f t="shared" si="10"/>
        <v>1</v>
      </c>
      <c r="F247">
        <f t="shared" si="11"/>
        <v>6</v>
      </c>
      <c r="G247" t="str">
        <f>VLOOKUP(F247,meses,2,FALSE)</f>
        <v>Junho</v>
      </c>
      <c r="H247" t="str">
        <f>VLOOKUP(F247,season,2,FALSE)</f>
        <v>Summer</v>
      </c>
    </row>
    <row r="248" spans="2:8" x14ac:dyDescent="0.2">
      <c r="B248" s="5">
        <v>38510.246717088863</v>
      </c>
      <c r="C248">
        <v>246</v>
      </c>
      <c r="D248">
        <f t="shared" si="9"/>
        <v>2005</v>
      </c>
      <c r="E248">
        <f t="shared" si="10"/>
        <v>1</v>
      </c>
      <c r="F248">
        <f t="shared" si="11"/>
        <v>6</v>
      </c>
      <c r="G248" t="str">
        <f>VLOOKUP(F248,meses,2,FALSE)</f>
        <v>Junho</v>
      </c>
      <c r="H248" t="str">
        <f>VLOOKUP(F248,season,2,FALSE)</f>
        <v>Summer</v>
      </c>
    </row>
    <row r="249" spans="2:8" x14ac:dyDescent="0.2">
      <c r="B249" s="5">
        <v>38510.898036174745</v>
      </c>
      <c r="C249">
        <v>247</v>
      </c>
      <c r="D249">
        <f t="shared" si="9"/>
        <v>2005</v>
      </c>
      <c r="E249">
        <f t="shared" si="10"/>
        <v>1</v>
      </c>
      <c r="F249">
        <f t="shared" si="11"/>
        <v>6</v>
      </c>
      <c r="G249" t="str">
        <f>VLOOKUP(F249,meses,2,FALSE)</f>
        <v>Junho</v>
      </c>
      <c r="H249" t="str">
        <f>VLOOKUP(F249,season,2,FALSE)</f>
        <v>Summer</v>
      </c>
    </row>
    <row r="250" spans="2:8" x14ac:dyDescent="0.2">
      <c r="B250" s="5">
        <v>38511.173373044294</v>
      </c>
      <c r="C250">
        <v>248</v>
      </c>
      <c r="D250">
        <f t="shared" si="9"/>
        <v>2005</v>
      </c>
      <c r="E250">
        <f t="shared" si="10"/>
        <v>1</v>
      </c>
      <c r="F250">
        <f t="shared" si="11"/>
        <v>6</v>
      </c>
      <c r="G250" t="str">
        <f>VLOOKUP(F250,meses,2,FALSE)</f>
        <v>Junho</v>
      </c>
      <c r="H250" t="str">
        <f>VLOOKUP(F250,season,2,FALSE)</f>
        <v>Summer</v>
      </c>
    </row>
    <row r="251" spans="2:8" x14ac:dyDescent="0.2">
      <c r="B251" s="5">
        <v>38511.598387722959</v>
      </c>
      <c r="C251">
        <v>249</v>
      </c>
      <c r="D251">
        <f t="shared" si="9"/>
        <v>2005</v>
      </c>
      <c r="E251">
        <f t="shared" si="10"/>
        <v>1</v>
      </c>
      <c r="F251">
        <f t="shared" si="11"/>
        <v>6</v>
      </c>
      <c r="G251" t="str">
        <f>VLOOKUP(F251,meses,2,FALSE)</f>
        <v>Junho</v>
      </c>
      <c r="H251" t="str">
        <f>VLOOKUP(F251,season,2,FALSE)</f>
        <v>Summer</v>
      </c>
    </row>
    <row r="252" spans="2:8" x14ac:dyDescent="0.2">
      <c r="B252" s="5">
        <v>38511.605510426241</v>
      </c>
      <c r="C252">
        <v>250</v>
      </c>
      <c r="D252">
        <f t="shared" si="9"/>
        <v>2005</v>
      </c>
      <c r="E252">
        <f t="shared" si="10"/>
        <v>1</v>
      </c>
      <c r="F252">
        <f t="shared" si="11"/>
        <v>6</v>
      </c>
      <c r="G252" t="str">
        <f>VLOOKUP(F252,meses,2,FALSE)</f>
        <v>Junho</v>
      </c>
      <c r="H252" t="str">
        <f>VLOOKUP(F252,season,2,FALSE)</f>
        <v>Summer</v>
      </c>
    </row>
    <row r="253" spans="2:8" x14ac:dyDescent="0.2">
      <c r="B253" s="5">
        <v>38511.750132488465</v>
      </c>
      <c r="C253">
        <v>251</v>
      </c>
      <c r="D253">
        <f t="shared" si="9"/>
        <v>2005</v>
      </c>
      <c r="E253">
        <f t="shared" si="10"/>
        <v>1</v>
      </c>
      <c r="F253">
        <f t="shared" si="11"/>
        <v>6</v>
      </c>
      <c r="G253" t="str">
        <f>VLOOKUP(F253,meses,2,FALSE)</f>
        <v>Junho</v>
      </c>
      <c r="H253" t="str">
        <f>VLOOKUP(F253,season,2,FALSE)</f>
        <v>Summer</v>
      </c>
    </row>
    <row r="254" spans="2:8" x14ac:dyDescent="0.2">
      <c r="B254" s="5">
        <v>38512.262453010328</v>
      </c>
      <c r="C254">
        <v>252</v>
      </c>
      <c r="D254">
        <f t="shared" si="9"/>
        <v>2005</v>
      </c>
      <c r="E254">
        <f t="shared" si="10"/>
        <v>1</v>
      </c>
      <c r="F254">
        <f t="shared" si="11"/>
        <v>6</v>
      </c>
      <c r="G254" t="str">
        <f>VLOOKUP(F254,meses,2,FALSE)</f>
        <v>Junho</v>
      </c>
      <c r="H254" t="str">
        <f>VLOOKUP(F254,season,2,FALSE)</f>
        <v>Summer</v>
      </c>
    </row>
    <row r="255" spans="2:8" x14ac:dyDescent="0.2">
      <c r="B255" s="5">
        <v>38512.338617434427</v>
      </c>
      <c r="C255">
        <v>253</v>
      </c>
      <c r="D255">
        <f t="shared" si="9"/>
        <v>2005</v>
      </c>
      <c r="E255">
        <f t="shared" si="10"/>
        <v>1</v>
      </c>
      <c r="F255">
        <f t="shared" si="11"/>
        <v>6</v>
      </c>
      <c r="G255" t="str">
        <f>VLOOKUP(F255,meses,2,FALSE)</f>
        <v>Junho</v>
      </c>
      <c r="H255" t="str">
        <f>VLOOKUP(F255,season,2,FALSE)</f>
        <v>Summer</v>
      </c>
    </row>
    <row r="256" spans="2:8" x14ac:dyDescent="0.2">
      <c r="B256" s="5">
        <v>38512.519237026107</v>
      </c>
      <c r="C256">
        <v>254</v>
      </c>
      <c r="D256">
        <f t="shared" si="9"/>
        <v>2005</v>
      </c>
      <c r="E256">
        <f t="shared" si="10"/>
        <v>1</v>
      </c>
      <c r="F256">
        <f t="shared" si="11"/>
        <v>6</v>
      </c>
      <c r="G256" t="str">
        <f>VLOOKUP(F256,meses,2,FALSE)</f>
        <v>Junho</v>
      </c>
      <c r="H256" t="str">
        <f>VLOOKUP(F256,season,2,FALSE)</f>
        <v>Summer</v>
      </c>
    </row>
    <row r="257" spans="2:8" x14ac:dyDescent="0.2">
      <c r="B257" s="5">
        <v>38512.849285173863</v>
      </c>
      <c r="C257">
        <v>255</v>
      </c>
      <c r="D257">
        <f t="shared" si="9"/>
        <v>2005</v>
      </c>
      <c r="E257">
        <f t="shared" si="10"/>
        <v>1</v>
      </c>
      <c r="F257">
        <f t="shared" si="11"/>
        <v>6</v>
      </c>
      <c r="G257" t="str">
        <f>VLOOKUP(F257,meses,2,FALSE)</f>
        <v>Junho</v>
      </c>
      <c r="H257" t="str">
        <f>VLOOKUP(F257,season,2,FALSE)</f>
        <v>Summer</v>
      </c>
    </row>
    <row r="258" spans="2:8" x14ac:dyDescent="0.2">
      <c r="B258" s="5">
        <v>38513.736175646693</v>
      </c>
      <c r="C258">
        <v>256</v>
      </c>
      <c r="D258">
        <f t="shared" si="9"/>
        <v>2005</v>
      </c>
      <c r="E258">
        <f t="shared" si="10"/>
        <v>1</v>
      </c>
      <c r="F258">
        <f t="shared" si="11"/>
        <v>6</v>
      </c>
      <c r="G258" t="str">
        <f>VLOOKUP(F258,meses,2,FALSE)</f>
        <v>Junho</v>
      </c>
      <c r="H258" t="str">
        <f>VLOOKUP(F258,season,2,FALSE)</f>
        <v>Summer</v>
      </c>
    </row>
    <row r="259" spans="2:8" x14ac:dyDescent="0.2">
      <c r="B259" s="5">
        <v>38513.811156236676</v>
      </c>
      <c r="C259">
        <v>257</v>
      </c>
      <c r="D259">
        <f t="shared" si="9"/>
        <v>2005</v>
      </c>
      <c r="E259">
        <f t="shared" si="10"/>
        <v>1</v>
      </c>
      <c r="F259">
        <f t="shared" si="11"/>
        <v>6</v>
      </c>
      <c r="G259" t="str">
        <f>VLOOKUP(F259,meses,2,FALSE)</f>
        <v>Junho</v>
      </c>
      <c r="H259" t="str">
        <f>VLOOKUP(F259,season,2,FALSE)</f>
        <v>Summer</v>
      </c>
    </row>
    <row r="260" spans="2:8" x14ac:dyDescent="0.2">
      <c r="B260" s="5">
        <v>38513.817517922398</v>
      </c>
      <c r="C260">
        <v>258</v>
      </c>
      <c r="D260">
        <f t="shared" ref="D260:D323" si="12">YEAR(B260)</f>
        <v>2005</v>
      </c>
      <c r="E260">
        <f t="shared" ref="E260:E323" si="13">IF(F260&lt;7,1,2)</f>
        <v>1</v>
      </c>
      <c r="F260">
        <f t="shared" ref="F260:F323" si="14">MONTH(B260)</f>
        <v>6</v>
      </c>
      <c r="G260" t="str">
        <f>VLOOKUP(F260,meses,2,FALSE)</f>
        <v>Junho</v>
      </c>
      <c r="H260" t="str">
        <f>VLOOKUP(F260,season,2,FALSE)</f>
        <v>Summer</v>
      </c>
    </row>
    <row r="261" spans="2:8" x14ac:dyDescent="0.2">
      <c r="B261" s="5">
        <v>38514.040576122628</v>
      </c>
      <c r="C261">
        <v>259</v>
      </c>
      <c r="D261">
        <f t="shared" si="12"/>
        <v>2005</v>
      </c>
      <c r="E261">
        <f t="shared" si="13"/>
        <v>1</v>
      </c>
      <c r="F261">
        <f t="shared" si="14"/>
        <v>6</v>
      </c>
      <c r="G261" t="str">
        <f>VLOOKUP(F261,meses,2,FALSE)</f>
        <v>Junho</v>
      </c>
      <c r="H261" t="str">
        <f>VLOOKUP(F261,season,2,FALSE)</f>
        <v>Summer</v>
      </c>
    </row>
    <row r="262" spans="2:8" x14ac:dyDescent="0.2">
      <c r="B262" s="5">
        <v>38514.141112396268</v>
      </c>
      <c r="C262">
        <v>260</v>
      </c>
      <c r="D262">
        <f t="shared" si="12"/>
        <v>2005</v>
      </c>
      <c r="E262">
        <f t="shared" si="13"/>
        <v>1</v>
      </c>
      <c r="F262">
        <f t="shared" si="14"/>
        <v>6</v>
      </c>
      <c r="G262" t="str">
        <f>VLOOKUP(F262,meses,2,FALSE)</f>
        <v>Junho</v>
      </c>
      <c r="H262" t="str">
        <f>VLOOKUP(F262,season,2,FALSE)</f>
        <v>Summer</v>
      </c>
    </row>
    <row r="263" spans="2:8" x14ac:dyDescent="0.2">
      <c r="B263" s="5">
        <v>38514.841581975052</v>
      </c>
      <c r="C263">
        <v>261</v>
      </c>
      <c r="D263">
        <f t="shared" si="12"/>
        <v>2005</v>
      </c>
      <c r="E263">
        <f t="shared" si="13"/>
        <v>1</v>
      </c>
      <c r="F263">
        <f t="shared" si="14"/>
        <v>6</v>
      </c>
      <c r="G263" t="str">
        <f>VLOOKUP(F263,meses,2,FALSE)</f>
        <v>Junho</v>
      </c>
      <c r="H263" t="str">
        <f>VLOOKUP(F263,season,2,FALSE)</f>
        <v>Summer</v>
      </c>
    </row>
    <row r="264" spans="2:8" x14ac:dyDescent="0.2">
      <c r="B264" s="5">
        <v>38515.267679109122</v>
      </c>
      <c r="C264">
        <v>262</v>
      </c>
      <c r="D264">
        <f t="shared" si="12"/>
        <v>2005</v>
      </c>
      <c r="E264">
        <f t="shared" si="13"/>
        <v>1</v>
      </c>
      <c r="F264">
        <f t="shared" si="14"/>
        <v>6</v>
      </c>
      <c r="G264" t="str">
        <f>VLOOKUP(F264,meses,2,FALSE)</f>
        <v>Junho</v>
      </c>
      <c r="H264" t="str">
        <f>VLOOKUP(F264,season,2,FALSE)</f>
        <v>Summer</v>
      </c>
    </row>
    <row r="265" spans="2:8" x14ac:dyDescent="0.2">
      <c r="B265" s="5">
        <v>38515.674679576776</v>
      </c>
      <c r="C265">
        <v>263</v>
      </c>
      <c r="D265">
        <f t="shared" si="12"/>
        <v>2005</v>
      </c>
      <c r="E265">
        <f t="shared" si="13"/>
        <v>1</v>
      </c>
      <c r="F265">
        <f t="shared" si="14"/>
        <v>6</v>
      </c>
      <c r="G265" t="str">
        <f>VLOOKUP(F265,meses,2,FALSE)</f>
        <v>Junho</v>
      </c>
      <c r="H265" t="str">
        <f>VLOOKUP(F265,season,2,FALSE)</f>
        <v>Summer</v>
      </c>
    </row>
    <row r="266" spans="2:8" x14ac:dyDescent="0.2">
      <c r="B266" s="5">
        <v>38516.513907942921</v>
      </c>
      <c r="C266">
        <v>264</v>
      </c>
      <c r="D266">
        <f t="shared" si="12"/>
        <v>2005</v>
      </c>
      <c r="E266">
        <f t="shared" si="13"/>
        <v>1</v>
      </c>
      <c r="F266">
        <f t="shared" si="14"/>
        <v>6</v>
      </c>
      <c r="G266" t="str">
        <f>VLOOKUP(F266,meses,2,FALSE)</f>
        <v>Junho</v>
      </c>
      <c r="H266" t="str">
        <f>VLOOKUP(F266,season,2,FALSE)</f>
        <v>Summer</v>
      </c>
    </row>
    <row r="267" spans="2:8" x14ac:dyDescent="0.2">
      <c r="B267" s="5">
        <v>38517.388818623673</v>
      </c>
      <c r="C267">
        <v>265</v>
      </c>
      <c r="D267">
        <f t="shared" si="12"/>
        <v>2005</v>
      </c>
      <c r="E267">
        <f t="shared" si="13"/>
        <v>1</v>
      </c>
      <c r="F267">
        <f t="shared" si="14"/>
        <v>6</v>
      </c>
      <c r="G267" t="str">
        <f>VLOOKUP(F267,meses,2,FALSE)</f>
        <v>Junho</v>
      </c>
      <c r="H267" t="str">
        <f>VLOOKUP(F267,season,2,FALSE)</f>
        <v>Summer</v>
      </c>
    </row>
    <row r="268" spans="2:8" x14ac:dyDescent="0.2">
      <c r="B268" s="5">
        <v>38517.419402557061</v>
      </c>
      <c r="C268">
        <v>266</v>
      </c>
      <c r="D268">
        <f t="shared" si="12"/>
        <v>2005</v>
      </c>
      <c r="E268">
        <f t="shared" si="13"/>
        <v>1</v>
      </c>
      <c r="F268">
        <f t="shared" si="14"/>
        <v>6</v>
      </c>
      <c r="G268" t="str">
        <f>VLOOKUP(F268,meses,2,FALSE)</f>
        <v>Junho</v>
      </c>
      <c r="H268" t="str">
        <f>VLOOKUP(F268,season,2,FALSE)</f>
        <v>Summer</v>
      </c>
    </row>
    <row r="269" spans="2:8" x14ac:dyDescent="0.2">
      <c r="B269" s="5">
        <v>38517.692081036446</v>
      </c>
      <c r="C269">
        <v>267</v>
      </c>
      <c r="D269">
        <f t="shared" si="12"/>
        <v>2005</v>
      </c>
      <c r="E269">
        <f t="shared" si="13"/>
        <v>1</v>
      </c>
      <c r="F269">
        <f t="shared" si="14"/>
        <v>6</v>
      </c>
      <c r="G269" t="str">
        <f>VLOOKUP(F269,meses,2,FALSE)</f>
        <v>Junho</v>
      </c>
      <c r="H269" t="str">
        <f>VLOOKUP(F269,season,2,FALSE)</f>
        <v>Summer</v>
      </c>
    </row>
    <row r="270" spans="2:8" x14ac:dyDescent="0.2">
      <c r="B270" s="5">
        <v>38517.756176619951</v>
      </c>
      <c r="C270">
        <v>268</v>
      </c>
      <c r="D270">
        <f t="shared" si="12"/>
        <v>2005</v>
      </c>
      <c r="E270">
        <f t="shared" si="13"/>
        <v>1</v>
      </c>
      <c r="F270">
        <f t="shared" si="14"/>
        <v>6</v>
      </c>
      <c r="G270" t="str">
        <f>VLOOKUP(F270,meses,2,FALSE)</f>
        <v>Junho</v>
      </c>
      <c r="H270" t="str">
        <f>VLOOKUP(F270,season,2,FALSE)</f>
        <v>Summer</v>
      </c>
    </row>
    <row r="271" spans="2:8" x14ac:dyDescent="0.2">
      <c r="B271" s="5">
        <v>38518.445572161916</v>
      </c>
      <c r="C271">
        <v>269</v>
      </c>
      <c r="D271">
        <f t="shared" si="12"/>
        <v>2005</v>
      </c>
      <c r="E271">
        <f t="shared" si="13"/>
        <v>1</v>
      </c>
      <c r="F271">
        <f t="shared" si="14"/>
        <v>6</v>
      </c>
      <c r="G271" t="str">
        <f>VLOOKUP(F271,meses,2,FALSE)</f>
        <v>Junho</v>
      </c>
      <c r="H271" t="str">
        <f>VLOOKUP(F271,season,2,FALSE)</f>
        <v>Summer</v>
      </c>
    </row>
    <row r="272" spans="2:8" x14ac:dyDescent="0.2">
      <c r="B272" s="5">
        <v>38518.452028877604</v>
      </c>
      <c r="C272">
        <v>270</v>
      </c>
      <c r="D272">
        <f t="shared" si="12"/>
        <v>2005</v>
      </c>
      <c r="E272">
        <f t="shared" si="13"/>
        <v>1</v>
      </c>
      <c r="F272">
        <f t="shared" si="14"/>
        <v>6</v>
      </c>
      <c r="G272" t="str">
        <f>VLOOKUP(F272,meses,2,FALSE)</f>
        <v>Junho</v>
      </c>
      <c r="H272" t="str">
        <f>VLOOKUP(F272,season,2,FALSE)</f>
        <v>Summer</v>
      </c>
    </row>
    <row r="273" spans="2:8" x14ac:dyDescent="0.2">
      <c r="B273" s="5">
        <v>38519.858648719281</v>
      </c>
      <c r="C273">
        <v>271</v>
      </c>
      <c r="D273">
        <f t="shared" si="12"/>
        <v>2005</v>
      </c>
      <c r="E273">
        <f t="shared" si="13"/>
        <v>1</v>
      </c>
      <c r="F273">
        <f t="shared" si="14"/>
        <v>6</v>
      </c>
      <c r="G273" t="str">
        <f>VLOOKUP(F273,meses,2,FALSE)</f>
        <v>Junho</v>
      </c>
      <c r="H273" t="str">
        <f>VLOOKUP(F273,season,2,FALSE)</f>
        <v>Summer</v>
      </c>
    </row>
    <row r="274" spans="2:8" x14ac:dyDescent="0.2">
      <c r="B274" s="5">
        <v>38520.399370577208</v>
      </c>
      <c r="C274">
        <v>272</v>
      </c>
      <c r="D274">
        <f t="shared" si="12"/>
        <v>2005</v>
      </c>
      <c r="E274">
        <f t="shared" si="13"/>
        <v>1</v>
      </c>
      <c r="F274">
        <f t="shared" si="14"/>
        <v>6</v>
      </c>
      <c r="G274" t="str">
        <f>VLOOKUP(F274,meses,2,FALSE)</f>
        <v>Junho</v>
      </c>
      <c r="H274" t="str">
        <f>VLOOKUP(F274,season,2,FALSE)</f>
        <v>Summer</v>
      </c>
    </row>
    <row r="275" spans="2:8" x14ac:dyDescent="0.2">
      <c r="B275" s="5">
        <v>38520.400675806479</v>
      </c>
      <c r="C275">
        <v>273</v>
      </c>
      <c r="D275">
        <f t="shared" si="12"/>
        <v>2005</v>
      </c>
      <c r="E275">
        <f t="shared" si="13"/>
        <v>1</v>
      </c>
      <c r="F275">
        <f t="shared" si="14"/>
        <v>6</v>
      </c>
      <c r="G275" t="str">
        <f>VLOOKUP(F275,meses,2,FALSE)</f>
        <v>Junho</v>
      </c>
      <c r="H275" t="str">
        <f>VLOOKUP(F275,season,2,FALSE)</f>
        <v>Summer</v>
      </c>
    </row>
    <row r="276" spans="2:8" x14ac:dyDescent="0.2">
      <c r="B276" s="5">
        <v>38520.595139879057</v>
      </c>
      <c r="C276">
        <v>274</v>
      </c>
      <c r="D276">
        <f t="shared" si="12"/>
        <v>2005</v>
      </c>
      <c r="E276">
        <f t="shared" si="13"/>
        <v>1</v>
      </c>
      <c r="F276">
        <f t="shared" si="14"/>
        <v>6</v>
      </c>
      <c r="G276" t="str">
        <f>VLOOKUP(F276,meses,2,FALSE)</f>
        <v>Junho</v>
      </c>
      <c r="H276" t="str">
        <f>VLOOKUP(F276,season,2,FALSE)</f>
        <v>Summer</v>
      </c>
    </row>
    <row r="277" spans="2:8" x14ac:dyDescent="0.2">
      <c r="B277" s="5">
        <v>38521.414503203145</v>
      </c>
      <c r="C277">
        <v>275</v>
      </c>
      <c r="D277">
        <f t="shared" si="12"/>
        <v>2005</v>
      </c>
      <c r="E277">
        <f t="shared" si="13"/>
        <v>1</v>
      </c>
      <c r="F277">
        <f t="shared" si="14"/>
        <v>6</v>
      </c>
      <c r="G277" t="str">
        <f>VLOOKUP(F277,meses,2,FALSE)</f>
        <v>Junho</v>
      </c>
      <c r="H277" t="str">
        <f>VLOOKUP(F277,season,2,FALSE)</f>
        <v>Summer</v>
      </c>
    </row>
    <row r="278" spans="2:8" x14ac:dyDescent="0.2">
      <c r="B278" s="5">
        <v>38521.601112933538</v>
      </c>
      <c r="C278">
        <v>276</v>
      </c>
      <c r="D278">
        <f t="shared" si="12"/>
        <v>2005</v>
      </c>
      <c r="E278">
        <f t="shared" si="13"/>
        <v>1</v>
      </c>
      <c r="F278">
        <f t="shared" si="14"/>
        <v>6</v>
      </c>
      <c r="G278" t="str">
        <f>VLOOKUP(F278,meses,2,FALSE)</f>
        <v>Junho</v>
      </c>
      <c r="H278" t="str">
        <f>VLOOKUP(F278,season,2,FALSE)</f>
        <v>Summer</v>
      </c>
    </row>
    <row r="279" spans="2:8" x14ac:dyDescent="0.2">
      <c r="B279" s="5">
        <v>38522.652453154944</v>
      </c>
      <c r="C279">
        <v>277</v>
      </c>
      <c r="D279">
        <f t="shared" si="12"/>
        <v>2005</v>
      </c>
      <c r="E279">
        <f t="shared" si="13"/>
        <v>1</v>
      </c>
      <c r="F279">
        <f t="shared" si="14"/>
        <v>6</v>
      </c>
      <c r="G279" t="str">
        <f>VLOOKUP(F279,meses,2,FALSE)</f>
        <v>Junho</v>
      </c>
      <c r="H279" t="str">
        <f>VLOOKUP(F279,season,2,FALSE)</f>
        <v>Summer</v>
      </c>
    </row>
    <row r="280" spans="2:8" x14ac:dyDescent="0.2">
      <c r="B280" s="5">
        <v>38523.787206717177</v>
      </c>
      <c r="C280">
        <v>278</v>
      </c>
      <c r="D280">
        <f t="shared" si="12"/>
        <v>2005</v>
      </c>
      <c r="E280">
        <f t="shared" si="13"/>
        <v>1</v>
      </c>
      <c r="F280">
        <f t="shared" si="14"/>
        <v>6</v>
      </c>
      <c r="G280" t="str">
        <f>VLOOKUP(F280,meses,2,FALSE)</f>
        <v>Junho</v>
      </c>
      <c r="H280" t="str">
        <f>VLOOKUP(F280,season,2,FALSE)</f>
        <v>Summer</v>
      </c>
    </row>
    <row r="281" spans="2:8" x14ac:dyDescent="0.2">
      <c r="B281" s="5">
        <v>38524.580725806023</v>
      </c>
      <c r="C281">
        <v>279</v>
      </c>
      <c r="D281">
        <f t="shared" si="12"/>
        <v>2005</v>
      </c>
      <c r="E281">
        <f t="shared" si="13"/>
        <v>1</v>
      </c>
      <c r="F281">
        <f t="shared" si="14"/>
        <v>6</v>
      </c>
      <c r="G281" t="str">
        <f>VLOOKUP(F281,meses,2,FALSE)</f>
        <v>Junho</v>
      </c>
      <c r="H281" t="str">
        <f>VLOOKUP(F281,season,2,FALSE)</f>
        <v>Summer</v>
      </c>
    </row>
    <row r="282" spans="2:8" x14ac:dyDescent="0.2">
      <c r="B282" s="5">
        <v>38524.74062358513</v>
      </c>
      <c r="C282">
        <v>280</v>
      </c>
      <c r="D282">
        <f t="shared" si="12"/>
        <v>2005</v>
      </c>
      <c r="E282">
        <f t="shared" si="13"/>
        <v>1</v>
      </c>
      <c r="F282">
        <f t="shared" si="14"/>
        <v>6</v>
      </c>
      <c r="G282" t="str">
        <f>VLOOKUP(F282,meses,2,FALSE)</f>
        <v>Junho</v>
      </c>
      <c r="H282" t="str">
        <f>VLOOKUP(F282,season,2,FALSE)</f>
        <v>Summer</v>
      </c>
    </row>
    <row r="283" spans="2:8" x14ac:dyDescent="0.2">
      <c r="B283" s="5">
        <v>38524.953235074972</v>
      </c>
      <c r="C283">
        <v>281</v>
      </c>
      <c r="D283">
        <f t="shared" si="12"/>
        <v>2005</v>
      </c>
      <c r="E283">
        <f t="shared" si="13"/>
        <v>1</v>
      </c>
      <c r="F283">
        <f t="shared" si="14"/>
        <v>6</v>
      </c>
      <c r="G283" t="str">
        <f>VLOOKUP(F283,meses,2,FALSE)</f>
        <v>Junho</v>
      </c>
      <c r="H283" t="str">
        <f>VLOOKUP(F283,season,2,FALSE)</f>
        <v>Summer</v>
      </c>
    </row>
    <row r="284" spans="2:8" x14ac:dyDescent="0.2">
      <c r="B284" s="5">
        <v>38525.039266755477</v>
      </c>
      <c r="C284">
        <v>282</v>
      </c>
      <c r="D284">
        <f t="shared" si="12"/>
        <v>2005</v>
      </c>
      <c r="E284">
        <f t="shared" si="13"/>
        <v>1</v>
      </c>
      <c r="F284">
        <f t="shared" si="14"/>
        <v>6</v>
      </c>
      <c r="G284" t="str">
        <f>VLOOKUP(F284,meses,2,FALSE)</f>
        <v>Junho</v>
      </c>
      <c r="H284" t="str">
        <f>VLOOKUP(F284,season,2,FALSE)</f>
        <v>Summer</v>
      </c>
    </row>
    <row r="285" spans="2:8" x14ac:dyDescent="0.2">
      <c r="B285" s="5">
        <v>38525.055927564921</v>
      </c>
      <c r="C285">
        <v>283</v>
      </c>
      <c r="D285">
        <f t="shared" si="12"/>
        <v>2005</v>
      </c>
      <c r="E285">
        <f t="shared" si="13"/>
        <v>1</v>
      </c>
      <c r="F285">
        <f t="shared" si="14"/>
        <v>6</v>
      </c>
      <c r="G285" t="str">
        <f>VLOOKUP(F285,meses,2,FALSE)</f>
        <v>Junho</v>
      </c>
      <c r="H285" t="str">
        <f>VLOOKUP(F285,season,2,FALSE)</f>
        <v>Summer</v>
      </c>
    </row>
    <row r="286" spans="2:8" x14ac:dyDescent="0.2">
      <c r="B286" s="5">
        <v>38525.360252248007</v>
      </c>
      <c r="C286">
        <v>284</v>
      </c>
      <c r="D286">
        <f t="shared" si="12"/>
        <v>2005</v>
      </c>
      <c r="E286">
        <f t="shared" si="13"/>
        <v>1</v>
      </c>
      <c r="F286">
        <f t="shared" si="14"/>
        <v>6</v>
      </c>
      <c r="G286" t="str">
        <f>VLOOKUP(F286,meses,2,FALSE)</f>
        <v>Junho</v>
      </c>
      <c r="H286" t="str">
        <f>VLOOKUP(F286,season,2,FALSE)</f>
        <v>Summer</v>
      </c>
    </row>
    <row r="287" spans="2:8" x14ac:dyDescent="0.2">
      <c r="B287" s="5">
        <v>38525.584265422825</v>
      </c>
      <c r="C287">
        <v>285</v>
      </c>
      <c r="D287">
        <f t="shared" si="12"/>
        <v>2005</v>
      </c>
      <c r="E287">
        <f t="shared" si="13"/>
        <v>1</v>
      </c>
      <c r="F287">
        <f t="shared" si="14"/>
        <v>6</v>
      </c>
      <c r="G287" t="str">
        <f>VLOOKUP(F287,meses,2,FALSE)</f>
        <v>Junho</v>
      </c>
      <c r="H287" t="str">
        <f>VLOOKUP(F287,season,2,FALSE)</f>
        <v>Summer</v>
      </c>
    </row>
    <row r="288" spans="2:8" x14ac:dyDescent="0.2">
      <c r="B288" s="5">
        <v>38525.6728969838</v>
      </c>
      <c r="C288">
        <v>286</v>
      </c>
      <c r="D288">
        <f t="shared" si="12"/>
        <v>2005</v>
      </c>
      <c r="E288">
        <f t="shared" si="13"/>
        <v>1</v>
      </c>
      <c r="F288">
        <f t="shared" si="14"/>
        <v>6</v>
      </c>
      <c r="G288" t="str">
        <f>VLOOKUP(F288,meses,2,FALSE)</f>
        <v>Junho</v>
      </c>
      <c r="H288" t="str">
        <f>VLOOKUP(F288,season,2,FALSE)</f>
        <v>Summer</v>
      </c>
    </row>
    <row r="289" spans="2:8" x14ac:dyDescent="0.2">
      <c r="B289" s="5">
        <v>38526.415078981598</v>
      </c>
      <c r="C289">
        <v>287</v>
      </c>
      <c r="D289">
        <f t="shared" si="12"/>
        <v>2005</v>
      </c>
      <c r="E289">
        <f t="shared" si="13"/>
        <v>1</v>
      </c>
      <c r="F289">
        <f t="shared" si="14"/>
        <v>6</v>
      </c>
      <c r="G289" t="str">
        <f>VLOOKUP(F289,meses,2,FALSE)</f>
        <v>Junho</v>
      </c>
      <c r="H289" t="str">
        <f>VLOOKUP(F289,season,2,FALSE)</f>
        <v>Summer</v>
      </c>
    </row>
    <row r="290" spans="2:8" x14ac:dyDescent="0.2">
      <c r="B290" s="5">
        <v>38527.667287913289</v>
      </c>
      <c r="C290">
        <v>288</v>
      </c>
      <c r="D290">
        <f t="shared" si="12"/>
        <v>2005</v>
      </c>
      <c r="E290">
        <f t="shared" si="13"/>
        <v>1</v>
      </c>
      <c r="F290">
        <f t="shared" si="14"/>
        <v>6</v>
      </c>
      <c r="G290" t="str">
        <f>VLOOKUP(F290,meses,2,FALSE)</f>
        <v>Junho</v>
      </c>
      <c r="H290" t="str">
        <f>VLOOKUP(F290,season,2,FALSE)</f>
        <v>Summer</v>
      </c>
    </row>
    <row r="291" spans="2:8" x14ac:dyDescent="0.2">
      <c r="B291" s="5">
        <v>38527.833453033127</v>
      </c>
      <c r="C291">
        <v>289</v>
      </c>
      <c r="D291">
        <f t="shared" si="12"/>
        <v>2005</v>
      </c>
      <c r="E291">
        <f t="shared" si="13"/>
        <v>1</v>
      </c>
      <c r="F291">
        <f t="shared" si="14"/>
        <v>6</v>
      </c>
      <c r="G291" t="str">
        <f>VLOOKUP(F291,meses,2,FALSE)</f>
        <v>Junho</v>
      </c>
      <c r="H291" t="str">
        <f>VLOOKUP(F291,season,2,FALSE)</f>
        <v>Summer</v>
      </c>
    </row>
    <row r="292" spans="2:8" x14ac:dyDescent="0.2">
      <c r="B292" s="5">
        <v>38529.303757611749</v>
      </c>
      <c r="C292">
        <v>290</v>
      </c>
      <c r="D292">
        <f t="shared" si="12"/>
        <v>2005</v>
      </c>
      <c r="E292">
        <f t="shared" si="13"/>
        <v>1</v>
      </c>
      <c r="F292">
        <f t="shared" si="14"/>
        <v>6</v>
      </c>
      <c r="G292" t="str">
        <f>VLOOKUP(F292,meses,2,FALSE)</f>
        <v>Junho</v>
      </c>
      <c r="H292" t="str">
        <f>VLOOKUP(F292,season,2,FALSE)</f>
        <v>Summer</v>
      </c>
    </row>
    <row r="293" spans="2:8" x14ac:dyDescent="0.2">
      <c r="B293" s="5">
        <v>38529.399083148186</v>
      </c>
      <c r="C293">
        <v>291</v>
      </c>
      <c r="D293">
        <f t="shared" si="12"/>
        <v>2005</v>
      </c>
      <c r="E293">
        <f t="shared" si="13"/>
        <v>1</v>
      </c>
      <c r="F293">
        <f t="shared" si="14"/>
        <v>6</v>
      </c>
      <c r="G293" t="str">
        <f>VLOOKUP(F293,meses,2,FALSE)</f>
        <v>Junho</v>
      </c>
      <c r="H293" t="str">
        <f>VLOOKUP(F293,season,2,FALSE)</f>
        <v>Summer</v>
      </c>
    </row>
    <row r="294" spans="2:8" x14ac:dyDescent="0.2">
      <c r="B294" s="5">
        <v>38529.784413024623</v>
      </c>
      <c r="C294">
        <v>292</v>
      </c>
      <c r="D294">
        <f t="shared" si="12"/>
        <v>2005</v>
      </c>
      <c r="E294">
        <f t="shared" si="13"/>
        <v>1</v>
      </c>
      <c r="F294">
        <f t="shared" si="14"/>
        <v>6</v>
      </c>
      <c r="G294" t="str">
        <f>VLOOKUP(F294,meses,2,FALSE)</f>
        <v>Junho</v>
      </c>
      <c r="H294" t="str">
        <f>VLOOKUP(F294,season,2,FALSE)</f>
        <v>Summer</v>
      </c>
    </row>
    <row r="295" spans="2:8" x14ac:dyDescent="0.2">
      <c r="B295" s="5">
        <v>38529.984614829948</v>
      </c>
      <c r="C295">
        <v>293</v>
      </c>
      <c r="D295">
        <f t="shared" si="12"/>
        <v>2005</v>
      </c>
      <c r="E295">
        <f t="shared" si="13"/>
        <v>1</v>
      </c>
      <c r="F295">
        <f t="shared" si="14"/>
        <v>6</v>
      </c>
      <c r="G295" t="str">
        <f>VLOOKUP(F295,meses,2,FALSE)</f>
        <v>Junho</v>
      </c>
      <c r="H295" t="str">
        <f>VLOOKUP(F295,season,2,FALSE)</f>
        <v>Summer</v>
      </c>
    </row>
    <row r="296" spans="2:8" x14ac:dyDescent="0.2">
      <c r="B296" s="5">
        <v>38531.601720489569</v>
      </c>
      <c r="C296">
        <v>294</v>
      </c>
      <c r="D296">
        <f t="shared" si="12"/>
        <v>2005</v>
      </c>
      <c r="E296">
        <f t="shared" si="13"/>
        <v>1</v>
      </c>
      <c r="F296">
        <f t="shared" si="14"/>
        <v>6</v>
      </c>
      <c r="G296" t="str">
        <f>VLOOKUP(F296,meses,2,FALSE)</f>
        <v>Junho</v>
      </c>
      <c r="H296" t="str">
        <f>VLOOKUP(F296,season,2,FALSE)</f>
        <v>Summer</v>
      </c>
    </row>
    <row r="297" spans="2:8" x14ac:dyDescent="0.2">
      <c r="B297" s="5">
        <v>38531.744024914849</v>
      </c>
      <c r="C297">
        <v>295</v>
      </c>
      <c r="D297">
        <f t="shared" si="12"/>
        <v>2005</v>
      </c>
      <c r="E297">
        <f t="shared" si="13"/>
        <v>1</v>
      </c>
      <c r="F297">
        <f t="shared" si="14"/>
        <v>6</v>
      </c>
      <c r="G297" t="str">
        <f>VLOOKUP(F297,meses,2,FALSE)</f>
        <v>Junho</v>
      </c>
      <c r="H297" t="str">
        <f>VLOOKUP(F297,season,2,FALSE)</f>
        <v>Summer</v>
      </c>
    </row>
    <row r="298" spans="2:8" x14ac:dyDescent="0.2">
      <c r="B298" s="5">
        <v>38532.091557279302</v>
      </c>
      <c r="C298">
        <v>296</v>
      </c>
      <c r="D298">
        <f t="shared" si="12"/>
        <v>2005</v>
      </c>
      <c r="E298">
        <f t="shared" si="13"/>
        <v>1</v>
      </c>
      <c r="F298">
        <f t="shared" si="14"/>
        <v>6</v>
      </c>
      <c r="G298" t="str">
        <f>VLOOKUP(F298,meses,2,FALSE)</f>
        <v>Junho</v>
      </c>
      <c r="H298" t="str">
        <f>VLOOKUP(F298,season,2,FALSE)</f>
        <v>Summer</v>
      </c>
    </row>
    <row r="299" spans="2:8" x14ac:dyDescent="0.2">
      <c r="B299" s="5">
        <v>38533.613997287219</v>
      </c>
      <c r="C299">
        <v>297</v>
      </c>
      <c r="D299">
        <f t="shared" si="12"/>
        <v>2005</v>
      </c>
      <c r="E299">
        <f t="shared" si="13"/>
        <v>1</v>
      </c>
      <c r="F299">
        <f t="shared" si="14"/>
        <v>6</v>
      </c>
      <c r="G299" t="str">
        <f>VLOOKUP(F299,meses,2,FALSE)</f>
        <v>Junho</v>
      </c>
      <c r="H299" t="str">
        <f>VLOOKUP(F299,season,2,FALSE)</f>
        <v>Summer</v>
      </c>
    </row>
    <row r="300" spans="2:8" x14ac:dyDescent="0.2">
      <c r="B300" s="5">
        <v>38534.405624520019</v>
      </c>
      <c r="C300">
        <v>298</v>
      </c>
      <c r="D300">
        <f t="shared" si="12"/>
        <v>2005</v>
      </c>
      <c r="E300">
        <f t="shared" si="13"/>
        <v>2</v>
      </c>
      <c r="F300">
        <f t="shared" si="14"/>
        <v>7</v>
      </c>
      <c r="G300" t="str">
        <f>VLOOKUP(F300,meses,2,FALSE)</f>
        <v>Julho</v>
      </c>
      <c r="H300" t="str">
        <f>VLOOKUP(F300,season,2,FALSE)</f>
        <v>Summer</v>
      </c>
    </row>
    <row r="301" spans="2:8" x14ac:dyDescent="0.2">
      <c r="B301" s="5">
        <v>38534.991076412414</v>
      </c>
      <c r="C301">
        <v>299</v>
      </c>
      <c r="D301">
        <f t="shared" si="12"/>
        <v>2005</v>
      </c>
      <c r="E301">
        <f t="shared" si="13"/>
        <v>2</v>
      </c>
      <c r="F301">
        <f t="shared" si="14"/>
        <v>7</v>
      </c>
      <c r="G301" t="str">
        <f>VLOOKUP(F301,meses,2,FALSE)</f>
        <v>Julho</v>
      </c>
      <c r="H301" t="str">
        <f>VLOOKUP(F301,season,2,FALSE)</f>
        <v>Summer</v>
      </c>
    </row>
    <row r="302" spans="2:8" x14ac:dyDescent="0.2">
      <c r="B302" s="5">
        <v>38535.186031128367</v>
      </c>
      <c r="C302">
        <v>300</v>
      </c>
      <c r="D302">
        <f t="shared" si="12"/>
        <v>2005</v>
      </c>
      <c r="E302">
        <f t="shared" si="13"/>
        <v>2</v>
      </c>
      <c r="F302">
        <f t="shared" si="14"/>
        <v>7</v>
      </c>
      <c r="G302" t="str">
        <f>VLOOKUP(F302,meses,2,FALSE)</f>
        <v>Julho</v>
      </c>
      <c r="H302" t="str">
        <f>VLOOKUP(F302,season,2,FALSE)</f>
        <v>Summer</v>
      </c>
    </row>
    <row r="303" spans="2:8" x14ac:dyDescent="0.2">
      <c r="B303" s="5">
        <v>38537.372858053634</v>
      </c>
      <c r="C303">
        <v>301</v>
      </c>
      <c r="D303">
        <f t="shared" si="12"/>
        <v>2005</v>
      </c>
      <c r="E303">
        <f t="shared" si="13"/>
        <v>2</v>
      </c>
      <c r="F303">
        <f t="shared" si="14"/>
        <v>7</v>
      </c>
      <c r="G303" t="str">
        <f>VLOOKUP(F303,meses,2,FALSE)</f>
        <v>Julho</v>
      </c>
      <c r="H303" t="str">
        <f>VLOOKUP(F303,season,2,FALSE)</f>
        <v>Summer</v>
      </c>
    </row>
    <row r="304" spans="2:8" x14ac:dyDescent="0.2">
      <c r="B304" s="5">
        <v>38537.639312627383</v>
      </c>
      <c r="C304">
        <v>302</v>
      </c>
      <c r="D304">
        <f t="shared" si="12"/>
        <v>2005</v>
      </c>
      <c r="E304">
        <f t="shared" si="13"/>
        <v>2</v>
      </c>
      <c r="F304">
        <f t="shared" si="14"/>
        <v>7</v>
      </c>
      <c r="G304" t="str">
        <f>VLOOKUP(F304,meses,2,FALSE)</f>
        <v>Julho</v>
      </c>
      <c r="H304" t="str">
        <f>VLOOKUP(F304,season,2,FALSE)</f>
        <v>Summer</v>
      </c>
    </row>
    <row r="305" spans="2:8" x14ac:dyDescent="0.2">
      <c r="B305" s="5">
        <v>38537.651911331006</v>
      </c>
      <c r="C305">
        <v>303</v>
      </c>
      <c r="D305">
        <f t="shared" si="12"/>
        <v>2005</v>
      </c>
      <c r="E305">
        <f t="shared" si="13"/>
        <v>2</v>
      </c>
      <c r="F305">
        <f t="shared" si="14"/>
        <v>7</v>
      </c>
      <c r="G305" t="str">
        <f>VLOOKUP(F305,meses,2,FALSE)</f>
        <v>Julho</v>
      </c>
      <c r="H305" t="str">
        <f>VLOOKUP(F305,season,2,FALSE)</f>
        <v>Summer</v>
      </c>
    </row>
    <row r="306" spans="2:8" x14ac:dyDescent="0.2">
      <c r="B306" s="5">
        <v>38539.088286773658</v>
      </c>
      <c r="C306">
        <v>304</v>
      </c>
      <c r="D306">
        <f t="shared" si="12"/>
        <v>2005</v>
      </c>
      <c r="E306">
        <f t="shared" si="13"/>
        <v>2</v>
      </c>
      <c r="F306">
        <f t="shared" si="14"/>
        <v>7</v>
      </c>
      <c r="G306" t="str">
        <f>VLOOKUP(F306,meses,2,FALSE)</f>
        <v>Julho</v>
      </c>
      <c r="H306" t="str">
        <f>VLOOKUP(F306,season,2,FALSE)</f>
        <v>Summer</v>
      </c>
    </row>
    <row r="307" spans="2:8" x14ac:dyDescent="0.2">
      <c r="B307" s="5">
        <v>38541.053042089916</v>
      </c>
      <c r="C307">
        <v>305</v>
      </c>
      <c r="D307">
        <f t="shared" si="12"/>
        <v>2005</v>
      </c>
      <c r="E307">
        <f t="shared" si="13"/>
        <v>2</v>
      </c>
      <c r="F307">
        <f t="shared" si="14"/>
        <v>7</v>
      </c>
      <c r="G307" t="str">
        <f>VLOOKUP(F307,meses,2,FALSE)</f>
        <v>Julho</v>
      </c>
      <c r="H307" t="str">
        <f>VLOOKUP(F307,season,2,FALSE)</f>
        <v>Summer</v>
      </c>
    </row>
    <row r="308" spans="2:8" x14ac:dyDescent="0.2">
      <c r="B308" s="5">
        <v>38541.2152804098</v>
      </c>
      <c r="C308">
        <v>306</v>
      </c>
      <c r="D308">
        <f t="shared" si="12"/>
        <v>2005</v>
      </c>
      <c r="E308">
        <f t="shared" si="13"/>
        <v>2</v>
      </c>
      <c r="F308">
        <f t="shared" si="14"/>
        <v>7</v>
      </c>
      <c r="G308" t="str">
        <f>VLOOKUP(F308,meses,2,FALSE)</f>
        <v>Julho</v>
      </c>
      <c r="H308" t="str">
        <f>VLOOKUP(F308,season,2,FALSE)</f>
        <v>Summer</v>
      </c>
    </row>
    <row r="309" spans="2:8" x14ac:dyDescent="0.2">
      <c r="B309" s="5">
        <v>38541.565149510527</v>
      </c>
      <c r="C309">
        <v>307</v>
      </c>
      <c r="D309">
        <f t="shared" si="12"/>
        <v>2005</v>
      </c>
      <c r="E309">
        <f t="shared" si="13"/>
        <v>2</v>
      </c>
      <c r="F309">
        <f t="shared" si="14"/>
        <v>7</v>
      </c>
      <c r="G309" t="str">
        <f>VLOOKUP(F309,meses,2,FALSE)</f>
        <v>Julho</v>
      </c>
      <c r="H309" t="str">
        <f>VLOOKUP(F309,season,2,FALSE)</f>
        <v>Summer</v>
      </c>
    </row>
    <row r="310" spans="2:8" x14ac:dyDescent="0.2">
      <c r="B310" s="5">
        <v>38542.314754111147</v>
      </c>
      <c r="C310">
        <v>308</v>
      </c>
      <c r="D310">
        <f t="shared" si="12"/>
        <v>2005</v>
      </c>
      <c r="E310">
        <f t="shared" si="13"/>
        <v>2</v>
      </c>
      <c r="F310">
        <f t="shared" si="14"/>
        <v>7</v>
      </c>
      <c r="G310" t="str">
        <f>VLOOKUP(F310,meses,2,FALSE)</f>
        <v>Julho</v>
      </c>
      <c r="H310" t="str">
        <f>VLOOKUP(F310,season,2,FALSE)</f>
        <v>Summer</v>
      </c>
    </row>
    <row r="311" spans="2:8" x14ac:dyDescent="0.2">
      <c r="B311" s="5">
        <v>38544.512992020369</v>
      </c>
      <c r="C311">
        <v>309</v>
      </c>
      <c r="D311">
        <f t="shared" si="12"/>
        <v>2005</v>
      </c>
      <c r="E311">
        <f t="shared" si="13"/>
        <v>2</v>
      </c>
      <c r="F311">
        <f t="shared" si="14"/>
        <v>7</v>
      </c>
      <c r="G311" t="str">
        <f>VLOOKUP(F311,meses,2,FALSE)</f>
        <v>Julho</v>
      </c>
      <c r="H311" t="str">
        <f>VLOOKUP(F311,season,2,FALSE)</f>
        <v>Summer</v>
      </c>
    </row>
    <row r="312" spans="2:8" x14ac:dyDescent="0.2">
      <c r="B312" s="5">
        <v>38546.067788723485</v>
      </c>
      <c r="C312">
        <v>310</v>
      </c>
      <c r="D312">
        <f t="shared" si="12"/>
        <v>2005</v>
      </c>
      <c r="E312">
        <f t="shared" si="13"/>
        <v>2</v>
      </c>
      <c r="F312">
        <f t="shared" si="14"/>
        <v>7</v>
      </c>
      <c r="G312" t="str">
        <f>VLOOKUP(F312,meses,2,FALSE)</f>
        <v>Julho</v>
      </c>
      <c r="H312" t="str">
        <f>VLOOKUP(F312,season,2,FALSE)</f>
        <v>Summer</v>
      </c>
    </row>
    <row r="313" spans="2:8" x14ac:dyDescent="0.2">
      <c r="B313" s="5">
        <v>38546.249972655671</v>
      </c>
      <c r="C313">
        <v>311</v>
      </c>
      <c r="D313">
        <f t="shared" si="12"/>
        <v>2005</v>
      </c>
      <c r="E313">
        <f t="shared" si="13"/>
        <v>2</v>
      </c>
      <c r="F313">
        <f t="shared" si="14"/>
        <v>7</v>
      </c>
      <c r="G313" t="str">
        <f>VLOOKUP(F313,meses,2,FALSE)</f>
        <v>Julho</v>
      </c>
      <c r="H313" t="str">
        <f>VLOOKUP(F313,season,2,FALSE)</f>
        <v>Summer</v>
      </c>
    </row>
    <row r="314" spans="2:8" x14ac:dyDescent="0.2">
      <c r="B314" s="5">
        <v>38548.521971182097</v>
      </c>
      <c r="C314">
        <v>312</v>
      </c>
      <c r="D314">
        <f t="shared" si="12"/>
        <v>2005</v>
      </c>
      <c r="E314">
        <f t="shared" si="13"/>
        <v>2</v>
      </c>
      <c r="F314">
        <f t="shared" si="14"/>
        <v>7</v>
      </c>
      <c r="G314" t="str">
        <f>VLOOKUP(F314,meses,2,FALSE)</f>
        <v>Julho</v>
      </c>
      <c r="H314" t="str">
        <f>VLOOKUP(F314,season,2,FALSE)</f>
        <v>Summer</v>
      </c>
    </row>
    <row r="315" spans="2:8" x14ac:dyDescent="0.2">
      <c r="B315" s="5">
        <v>38549.186049781259</v>
      </c>
      <c r="C315">
        <v>313</v>
      </c>
      <c r="D315">
        <f t="shared" si="12"/>
        <v>2005</v>
      </c>
      <c r="E315">
        <f t="shared" si="13"/>
        <v>2</v>
      </c>
      <c r="F315">
        <f t="shared" si="14"/>
        <v>7</v>
      </c>
      <c r="G315" t="str">
        <f>VLOOKUP(F315,meses,2,FALSE)</f>
        <v>Julho</v>
      </c>
      <c r="H315" t="str">
        <f>VLOOKUP(F315,season,2,FALSE)</f>
        <v>Summer</v>
      </c>
    </row>
    <row r="316" spans="2:8" x14ac:dyDescent="0.2">
      <c r="B316" s="5">
        <v>38551.74928573826</v>
      </c>
      <c r="C316">
        <v>314</v>
      </c>
      <c r="D316">
        <f t="shared" si="12"/>
        <v>2005</v>
      </c>
      <c r="E316">
        <f t="shared" si="13"/>
        <v>2</v>
      </c>
      <c r="F316">
        <f t="shared" si="14"/>
        <v>7</v>
      </c>
      <c r="G316" t="str">
        <f>VLOOKUP(F316,meses,2,FALSE)</f>
        <v>Julho</v>
      </c>
      <c r="H316" t="str">
        <f>VLOOKUP(F316,season,2,FALSE)</f>
        <v>Summer</v>
      </c>
    </row>
    <row r="317" spans="2:8" x14ac:dyDescent="0.2">
      <c r="B317" s="5">
        <v>38551.894864938062</v>
      </c>
      <c r="C317">
        <v>315</v>
      </c>
      <c r="D317">
        <f t="shared" si="12"/>
        <v>2005</v>
      </c>
      <c r="E317">
        <f t="shared" si="13"/>
        <v>2</v>
      </c>
      <c r="F317">
        <f t="shared" si="14"/>
        <v>7</v>
      </c>
      <c r="G317" t="str">
        <f>VLOOKUP(F317,meses,2,FALSE)</f>
        <v>Julho</v>
      </c>
      <c r="H317" t="str">
        <f>VLOOKUP(F317,season,2,FALSE)</f>
        <v>Summer</v>
      </c>
    </row>
    <row r="318" spans="2:8" x14ac:dyDescent="0.2">
      <c r="B318" s="5">
        <v>38553.49560331348</v>
      </c>
      <c r="C318">
        <v>316</v>
      </c>
      <c r="D318">
        <f t="shared" si="12"/>
        <v>2005</v>
      </c>
      <c r="E318">
        <f t="shared" si="13"/>
        <v>2</v>
      </c>
      <c r="F318">
        <f t="shared" si="14"/>
        <v>7</v>
      </c>
      <c r="G318" t="str">
        <f>VLOOKUP(F318,meses,2,FALSE)</f>
        <v>Julho</v>
      </c>
      <c r="H318" t="str">
        <f>VLOOKUP(F318,season,2,FALSE)</f>
        <v>Summer</v>
      </c>
    </row>
    <row r="319" spans="2:8" x14ac:dyDescent="0.2">
      <c r="B319" s="5">
        <v>38555.943412378248</v>
      </c>
      <c r="C319">
        <v>317</v>
      </c>
      <c r="D319">
        <f t="shared" si="12"/>
        <v>2005</v>
      </c>
      <c r="E319">
        <f t="shared" si="13"/>
        <v>2</v>
      </c>
      <c r="F319">
        <f t="shared" si="14"/>
        <v>7</v>
      </c>
      <c r="G319" t="str">
        <f>VLOOKUP(F319,meses,2,FALSE)</f>
        <v>Julho</v>
      </c>
      <c r="H319" t="str">
        <f>VLOOKUP(F319,season,2,FALSE)</f>
        <v>Summer</v>
      </c>
    </row>
    <row r="320" spans="2:8" x14ac:dyDescent="0.2">
      <c r="B320" s="5">
        <v>38556.158254052323</v>
      </c>
      <c r="C320">
        <v>318</v>
      </c>
      <c r="D320">
        <f t="shared" si="12"/>
        <v>2005</v>
      </c>
      <c r="E320">
        <f t="shared" si="13"/>
        <v>2</v>
      </c>
      <c r="F320">
        <f t="shared" si="14"/>
        <v>7</v>
      </c>
      <c r="G320" t="str">
        <f>VLOOKUP(F320,meses,2,FALSE)</f>
        <v>Julho</v>
      </c>
      <c r="H320" t="str">
        <f>VLOOKUP(F320,season,2,FALSE)</f>
        <v>Summer</v>
      </c>
    </row>
    <row r="321" spans="2:8" x14ac:dyDescent="0.2">
      <c r="B321" s="5">
        <v>38562.503896445945</v>
      </c>
      <c r="C321">
        <v>319</v>
      </c>
      <c r="D321">
        <f t="shared" si="12"/>
        <v>2005</v>
      </c>
      <c r="E321">
        <f t="shared" si="13"/>
        <v>2</v>
      </c>
      <c r="F321">
        <f t="shared" si="14"/>
        <v>7</v>
      </c>
      <c r="G321" t="str">
        <f>VLOOKUP(F321,meses,2,FALSE)</f>
        <v>Julho</v>
      </c>
      <c r="H321" t="str">
        <f>VLOOKUP(F321,season,2,FALSE)</f>
        <v>Summer</v>
      </c>
    </row>
    <row r="322" spans="2:8" x14ac:dyDescent="0.2">
      <c r="B322" s="5">
        <v>38563.767534189305</v>
      </c>
      <c r="C322">
        <v>320</v>
      </c>
      <c r="D322">
        <f t="shared" si="12"/>
        <v>2005</v>
      </c>
      <c r="E322">
        <f t="shared" si="13"/>
        <v>2</v>
      </c>
      <c r="F322">
        <f t="shared" si="14"/>
        <v>7</v>
      </c>
      <c r="G322" t="str">
        <f>VLOOKUP(F322,meses,2,FALSE)</f>
        <v>Julho</v>
      </c>
      <c r="H322" t="str">
        <f>VLOOKUP(F322,season,2,FALSE)</f>
        <v>Summer</v>
      </c>
    </row>
    <row r="323" spans="2:8" x14ac:dyDescent="0.2">
      <c r="B323" s="5">
        <v>38566.439597705736</v>
      </c>
      <c r="C323">
        <v>321</v>
      </c>
      <c r="D323">
        <f t="shared" si="12"/>
        <v>2005</v>
      </c>
      <c r="E323">
        <f t="shared" si="13"/>
        <v>2</v>
      </c>
      <c r="F323">
        <f t="shared" si="14"/>
        <v>8</v>
      </c>
      <c r="G323" t="str">
        <f>VLOOKUP(F323,meses,2,FALSE)</f>
        <v>Agosto</v>
      </c>
      <c r="H323" t="str">
        <f>VLOOKUP(F323,season,2,FALSE)</f>
        <v>Summer</v>
      </c>
    </row>
    <row r="324" spans="2:8" x14ac:dyDescent="0.2">
      <c r="B324" s="5">
        <v>38566.841863581067</v>
      </c>
      <c r="C324">
        <v>322</v>
      </c>
      <c r="D324">
        <f t="shared" ref="D324:D340" si="15">YEAR(B324)</f>
        <v>2005</v>
      </c>
      <c r="E324">
        <f t="shared" ref="E324:E340" si="16">IF(F324&lt;7,1,2)</f>
        <v>2</v>
      </c>
      <c r="F324">
        <f t="shared" ref="F324:F340" si="17">MONTH(B324)</f>
        <v>8</v>
      </c>
      <c r="G324" t="str">
        <f>VLOOKUP(F324,meses,2,FALSE)</f>
        <v>Agosto</v>
      </c>
      <c r="H324" t="str">
        <f>VLOOKUP(F324,season,2,FALSE)</f>
        <v>Summer</v>
      </c>
    </row>
    <row r="325" spans="2:8" x14ac:dyDescent="0.2">
      <c r="B325" s="5">
        <v>38568.760725125474</v>
      </c>
      <c r="C325">
        <v>323</v>
      </c>
      <c r="D325">
        <f t="shared" si="15"/>
        <v>2005</v>
      </c>
      <c r="E325">
        <f t="shared" si="16"/>
        <v>2</v>
      </c>
      <c r="F325">
        <f t="shared" si="17"/>
        <v>8</v>
      </c>
      <c r="G325" t="str">
        <f>VLOOKUP(F325,meses,2,FALSE)</f>
        <v>Agosto</v>
      </c>
      <c r="H325" t="str">
        <f>VLOOKUP(F325,season,2,FALSE)</f>
        <v>Summer</v>
      </c>
    </row>
    <row r="326" spans="2:8" x14ac:dyDescent="0.2">
      <c r="B326" s="5">
        <v>38571.20580097779</v>
      </c>
      <c r="C326">
        <v>324</v>
      </c>
      <c r="D326">
        <f t="shared" si="15"/>
        <v>2005</v>
      </c>
      <c r="E326">
        <f t="shared" si="16"/>
        <v>2</v>
      </c>
      <c r="F326">
        <f t="shared" si="17"/>
        <v>8</v>
      </c>
      <c r="G326" t="str">
        <f>VLOOKUP(F326,meses,2,FALSE)</f>
        <v>Agosto</v>
      </c>
      <c r="H326" t="str">
        <f>VLOOKUP(F326,season,2,FALSE)</f>
        <v>Summer</v>
      </c>
    </row>
    <row r="327" spans="2:8" x14ac:dyDescent="0.2">
      <c r="B327" s="5">
        <v>38572.218413531737</v>
      </c>
      <c r="C327">
        <v>325</v>
      </c>
      <c r="D327">
        <f t="shared" si="15"/>
        <v>2005</v>
      </c>
      <c r="E327">
        <f t="shared" si="16"/>
        <v>2</v>
      </c>
      <c r="F327">
        <f t="shared" si="17"/>
        <v>8</v>
      </c>
      <c r="G327" t="str">
        <f>VLOOKUP(F327,meses,2,FALSE)</f>
        <v>Agosto</v>
      </c>
      <c r="H327" t="str">
        <f>VLOOKUP(F327,season,2,FALSE)</f>
        <v>Summer</v>
      </c>
    </row>
    <row r="328" spans="2:8" x14ac:dyDescent="0.2">
      <c r="B328" s="5">
        <v>38575.277385830566</v>
      </c>
      <c r="C328">
        <v>326</v>
      </c>
      <c r="D328">
        <f t="shared" si="15"/>
        <v>2005</v>
      </c>
      <c r="E328">
        <f t="shared" si="16"/>
        <v>2</v>
      </c>
      <c r="F328">
        <f t="shared" si="17"/>
        <v>8</v>
      </c>
      <c r="G328" t="str">
        <f>VLOOKUP(F328,meses,2,FALSE)</f>
        <v>Agosto</v>
      </c>
      <c r="H328" t="str">
        <f>VLOOKUP(F328,season,2,FALSE)</f>
        <v>Summer</v>
      </c>
    </row>
    <row r="329" spans="2:8" x14ac:dyDescent="0.2">
      <c r="B329" s="5">
        <v>38575.959010212937</v>
      </c>
      <c r="C329">
        <v>327</v>
      </c>
      <c r="D329">
        <f t="shared" si="15"/>
        <v>2005</v>
      </c>
      <c r="E329">
        <f t="shared" si="16"/>
        <v>2</v>
      </c>
      <c r="F329">
        <f t="shared" si="17"/>
        <v>8</v>
      </c>
      <c r="G329" t="str">
        <f>VLOOKUP(F329,meses,2,FALSE)</f>
        <v>Agosto</v>
      </c>
      <c r="H329" t="str">
        <f>VLOOKUP(F329,season,2,FALSE)</f>
        <v>Summer</v>
      </c>
    </row>
    <row r="330" spans="2:8" x14ac:dyDescent="0.2">
      <c r="B330" s="5">
        <v>38577.158143721506</v>
      </c>
      <c r="C330">
        <v>328</v>
      </c>
      <c r="D330">
        <f t="shared" si="15"/>
        <v>2005</v>
      </c>
      <c r="E330">
        <f t="shared" si="16"/>
        <v>2</v>
      </c>
      <c r="F330">
        <f t="shared" si="17"/>
        <v>8</v>
      </c>
      <c r="G330" t="str">
        <f>VLOOKUP(F330,meses,2,FALSE)</f>
        <v>Agosto</v>
      </c>
      <c r="H330" t="str">
        <f>VLOOKUP(F330,season,2,FALSE)</f>
        <v>Summer</v>
      </c>
    </row>
    <row r="331" spans="2:8" x14ac:dyDescent="0.2">
      <c r="B331" s="5">
        <v>38577.741961761159</v>
      </c>
      <c r="C331">
        <v>329</v>
      </c>
      <c r="D331">
        <f t="shared" si="15"/>
        <v>2005</v>
      </c>
      <c r="E331">
        <f t="shared" si="16"/>
        <v>2</v>
      </c>
      <c r="F331">
        <f t="shared" si="17"/>
        <v>8</v>
      </c>
      <c r="G331" t="str">
        <f>VLOOKUP(F331,meses,2,FALSE)</f>
        <v>Agosto</v>
      </c>
      <c r="H331" t="str">
        <f>VLOOKUP(F331,season,2,FALSE)</f>
        <v>Summer</v>
      </c>
    </row>
    <row r="332" spans="2:8" x14ac:dyDescent="0.2">
      <c r="B332" s="5">
        <v>38577.889563867655</v>
      </c>
      <c r="C332">
        <v>330</v>
      </c>
      <c r="D332">
        <f t="shared" si="15"/>
        <v>2005</v>
      </c>
      <c r="E332">
        <f t="shared" si="16"/>
        <v>2</v>
      </c>
      <c r="F332">
        <f t="shared" si="17"/>
        <v>8</v>
      </c>
      <c r="G332" t="str">
        <f>VLOOKUP(F332,meses,2,FALSE)</f>
        <v>Agosto</v>
      </c>
      <c r="H332" t="str">
        <f>VLOOKUP(F332,season,2,FALSE)</f>
        <v>Summer</v>
      </c>
    </row>
    <row r="333" spans="2:8" x14ac:dyDescent="0.2">
      <c r="B333" s="5">
        <v>38580.076861801848</v>
      </c>
      <c r="C333">
        <v>331</v>
      </c>
      <c r="D333">
        <f t="shared" si="15"/>
        <v>2005</v>
      </c>
      <c r="E333">
        <f t="shared" si="16"/>
        <v>2</v>
      </c>
      <c r="F333">
        <f t="shared" si="17"/>
        <v>8</v>
      </c>
      <c r="G333" t="str">
        <f>VLOOKUP(F333,meses,2,FALSE)</f>
        <v>Agosto</v>
      </c>
      <c r="H333" t="str">
        <f>VLOOKUP(F333,season,2,FALSE)</f>
        <v>Summer</v>
      </c>
    </row>
    <row r="334" spans="2:8" x14ac:dyDescent="0.2">
      <c r="B334" s="5">
        <v>38580.917041127235</v>
      </c>
      <c r="C334">
        <v>332</v>
      </c>
      <c r="D334">
        <f t="shared" si="15"/>
        <v>2005</v>
      </c>
      <c r="E334">
        <f t="shared" si="16"/>
        <v>2</v>
      </c>
      <c r="F334">
        <f t="shared" si="17"/>
        <v>8</v>
      </c>
      <c r="G334" t="str">
        <f>VLOOKUP(F334,meses,2,FALSE)</f>
        <v>Agosto</v>
      </c>
      <c r="H334" t="str">
        <f>VLOOKUP(F334,season,2,FALSE)</f>
        <v>Summer</v>
      </c>
    </row>
    <row r="335" spans="2:8" x14ac:dyDescent="0.2">
      <c r="B335" s="5">
        <v>38581.669427887624</v>
      </c>
      <c r="C335">
        <v>333</v>
      </c>
      <c r="D335">
        <f t="shared" si="15"/>
        <v>2005</v>
      </c>
      <c r="E335">
        <f t="shared" si="16"/>
        <v>2</v>
      </c>
      <c r="F335">
        <f t="shared" si="17"/>
        <v>8</v>
      </c>
      <c r="G335" t="str">
        <f>VLOOKUP(F335,meses,2,FALSE)</f>
        <v>Agosto</v>
      </c>
      <c r="H335" t="str">
        <f>VLOOKUP(F335,season,2,FALSE)</f>
        <v>Summer</v>
      </c>
    </row>
    <row r="336" spans="2:8" x14ac:dyDescent="0.2">
      <c r="B336" s="5">
        <v>38585.12882853442</v>
      </c>
      <c r="C336">
        <v>334</v>
      </c>
      <c r="D336">
        <f t="shared" si="15"/>
        <v>2005</v>
      </c>
      <c r="E336">
        <f t="shared" si="16"/>
        <v>2</v>
      </c>
      <c r="F336">
        <f t="shared" si="17"/>
        <v>8</v>
      </c>
      <c r="G336" t="str">
        <f>VLOOKUP(F336,meses,2,FALSE)</f>
        <v>Agosto</v>
      </c>
      <c r="H336" t="str">
        <f>VLOOKUP(F336,season,2,FALSE)</f>
        <v>Summer</v>
      </c>
    </row>
    <row r="337" spans="2:8" x14ac:dyDescent="0.2">
      <c r="B337" s="5">
        <v>38585.974636827697</v>
      </c>
      <c r="C337">
        <v>335</v>
      </c>
      <c r="D337">
        <f t="shared" si="15"/>
        <v>2005</v>
      </c>
      <c r="E337">
        <f t="shared" si="16"/>
        <v>2</v>
      </c>
      <c r="F337">
        <f t="shared" si="17"/>
        <v>8</v>
      </c>
      <c r="G337" t="str">
        <f>VLOOKUP(F337,meses,2,FALSE)</f>
        <v>Agosto</v>
      </c>
      <c r="H337" t="str">
        <f>VLOOKUP(F337,season,2,FALSE)</f>
        <v>Summer</v>
      </c>
    </row>
    <row r="338" spans="2:8" x14ac:dyDescent="0.2">
      <c r="B338" s="5">
        <v>38589.025782020879</v>
      </c>
      <c r="C338">
        <v>336</v>
      </c>
      <c r="D338">
        <f t="shared" si="15"/>
        <v>2005</v>
      </c>
      <c r="E338">
        <f t="shared" si="16"/>
        <v>2</v>
      </c>
      <c r="F338">
        <f t="shared" si="17"/>
        <v>8</v>
      </c>
      <c r="G338" t="str">
        <f>VLOOKUP(F338,meses,2,FALSE)</f>
        <v>Agosto</v>
      </c>
      <c r="H338" t="str">
        <f>VLOOKUP(F338,season,2,FALSE)</f>
        <v>Summer</v>
      </c>
    </row>
    <row r="339" spans="2:8" x14ac:dyDescent="0.2">
      <c r="B339" s="5">
        <v>38590.531868099577</v>
      </c>
      <c r="C339">
        <v>337</v>
      </c>
      <c r="D339">
        <f t="shared" si="15"/>
        <v>2005</v>
      </c>
      <c r="E339">
        <f t="shared" si="16"/>
        <v>2</v>
      </c>
      <c r="F339">
        <f t="shared" si="17"/>
        <v>8</v>
      </c>
      <c r="G339" t="str">
        <f>VLOOKUP(F339,meses,2,FALSE)</f>
        <v>Agosto</v>
      </c>
      <c r="H339" t="str">
        <f>VLOOKUP(F339,season,2,FALSE)</f>
        <v>Summer</v>
      </c>
    </row>
    <row r="340" spans="2:8" x14ac:dyDescent="0.2">
      <c r="B340" s="5">
        <v>38590.997432693453</v>
      </c>
      <c r="C340">
        <v>338</v>
      </c>
      <c r="D340">
        <f t="shared" si="15"/>
        <v>2005</v>
      </c>
      <c r="E340">
        <f t="shared" si="16"/>
        <v>2</v>
      </c>
      <c r="F340">
        <f t="shared" si="17"/>
        <v>8</v>
      </c>
      <c r="G340" t="str">
        <f>VLOOKUP(F340,meses,2,FALSE)</f>
        <v>Agosto</v>
      </c>
      <c r="H340" t="str">
        <f>VLOOKUP(F340,season,2,FALSE)</f>
        <v>Summer</v>
      </c>
    </row>
  </sheetData>
  <sortState xmlns:xlrd2="http://schemas.microsoft.com/office/spreadsheetml/2017/richdata2" ref="B3:B340">
    <sortCondition ref="B3:B3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A655-C3C6-4777-BAE8-98685648FB12}">
  <dimension ref="B2:E30"/>
  <sheetViews>
    <sheetView workbookViewId="0">
      <selection activeCell="L27" sqref="L27"/>
    </sheetView>
  </sheetViews>
  <sheetFormatPr defaultRowHeight="12.75" x14ac:dyDescent="0.2"/>
  <cols>
    <col min="3" max="3" width="20" bestFit="1" customWidth="1"/>
  </cols>
  <sheetData>
    <row r="2" spans="2:5" x14ac:dyDescent="0.2">
      <c r="B2" s="6" t="s">
        <v>83</v>
      </c>
      <c r="C2" s="6" t="s">
        <v>84</v>
      </c>
      <c r="D2" t="s">
        <v>32</v>
      </c>
      <c r="E2" t="s">
        <v>33</v>
      </c>
    </row>
    <row r="3" spans="2:5" x14ac:dyDescent="0.2">
      <c r="B3">
        <v>1</v>
      </c>
      <c r="C3" t="s">
        <v>85</v>
      </c>
      <c r="D3" t="s">
        <v>35</v>
      </c>
      <c r="E3" t="s">
        <v>39</v>
      </c>
    </row>
    <row r="4" spans="2:5" x14ac:dyDescent="0.2">
      <c r="B4">
        <v>2</v>
      </c>
      <c r="C4" t="s">
        <v>86</v>
      </c>
      <c r="D4" t="s">
        <v>35</v>
      </c>
      <c r="E4" t="s">
        <v>43</v>
      </c>
    </row>
    <row r="5" spans="2:5" x14ac:dyDescent="0.2">
      <c r="B5">
        <v>3</v>
      </c>
      <c r="C5" t="s">
        <v>87</v>
      </c>
      <c r="D5" t="s">
        <v>35</v>
      </c>
      <c r="E5" t="s">
        <v>40</v>
      </c>
    </row>
    <row r="6" spans="2:5" x14ac:dyDescent="0.2">
      <c r="B6">
        <v>4</v>
      </c>
      <c r="C6" t="s">
        <v>88</v>
      </c>
      <c r="D6" t="s">
        <v>35</v>
      </c>
      <c r="E6" t="s">
        <v>28</v>
      </c>
    </row>
    <row r="7" spans="2:5" x14ac:dyDescent="0.2">
      <c r="B7">
        <v>5</v>
      </c>
      <c r="C7" t="s">
        <v>89</v>
      </c>
      <c r="D7" t="s">
        <v>35</v>
      </c>
      <c r="E7" t="s">
        <v>41</v>
      </c>
    </row>
    <row r="8" spans="2:5" x14ac:dyDescent="0.2">
      <c r="B8">
        <v>6</v>
      </c>
      <c r="C8" t="s">
        <v>90</v>
      </c>
      <c r="D8" t="s">
        <v>35</v>
      </c>
      <c r="E8" t="s">
        <v>27</v>
      </c>
    </row>
    <row r="9" spans="2:5" x14ac:dyDescent="0.2">
      <c r="B9">
        <v>7</v>
      </c>
      <c r="C9" t="s">
        <v>91</v>
      </c>
      <c r="D9" t="s">
        <v>35</v>
      </c>
      <c r="E9" t="s">
        <v>38</v>
      </c>
    </row>
    <row r="10" spans="2:5" x14ac:dyDescent="0.2">
      <c r="B10">
        <v>8</v>
      </c>
      <c r="C10" t="s">
        <v>92</v>
      </c>
      <c r="D10" t="s">
        <v>26</v>
      </c>
      <c r="E10" t="s">
        <v>39</v>
      </c>
    </row>
    <row r="11" spans="2:5" x14ac:dyDescent="0.2">
      <c r="B11">
        <v>9</v>
      </c>
      <c r="C11" t="s">
        <v>93</v>
      </c>
      <c r="D11" t="s">
        <v>26</v>
      </c>
      <c r="E11" t="s">
        <v>43</v>
      </c>
    </row>
    <row r="12" spans="2:5" x14ac:dyDescent="0.2">
      <c r="B12">
        <v>10</v>
      </c>
      <c r="C12" t="s">
        <v>94</v>
      </c>
      <c r="D12" t="s">
        <v>26</v>
      </c>
      <c r="E12" t="s">
        <v>40</v>
      </c>
    </row>
    <row r="13" spans="2:5" x14ac:dyDescent="0.2">
      <c r="B13">
        <v>11</v>
      </c>
      <c r="C13" t="s">
        <v>95</v>
      </c>
      <c r="D13" t="s">
        <v>26</v>
      </c>
      <c r="E13" t="s">
        <v>28</v>
      </c>
    </row>
    <row r="14" spans="2:5" x14ac:dyDescent="0.2">
      <c r="B14">
        <v>12</v>
      </c>
      <c r="C14" t="s">
        <v>96</v>
      </c>
      <c r="D14" t="s">
        <v>26</v>
      </c>
      <c r="E14" t="s">
        <v>41</v>
      </c>
    </row>
    <row r="15" spans="2:5" x14ac:dyDescent="0.2">
      <c r="B15">
        <v>13</v>
      </c>
      <c r="C15" t="s">
        <v>97</v>
      </c>
      <c r="D15" t="s">
        <v>26</v>
      </c>
      <c r="E15" t="s">
        <v>27</v>
      </c>
    </row>
    <row r="16" spans="2:5" x14ac:dyDescent="0.2">
      <c r="B16">
        <v>14</v>
      </c>
      <c r="C16" t="s">
        <v>98</v>
      </c>
      <c r="D16" t="s">
        <v>26</v>
      </c>
      <c r="E16" t="s">
        <v>38</v>
      </c>
    </row>
    <row r="17" spans="2:5" x14ac:dyDescent="0.2">
      <c r="B17">
        <v>15</v>
      </c>
      <c r="C17" t="s">
        <v>99</v>
      </c>
      <c r="D17" t="s">
        <v>25</v>
      </c>
      <c r="E17" t="s">
        <v>39</v>
      </c>
    </row>
    <row r="18" spans="2:5" x14ac:dyDescent="0.2">
      <c r="B18">
        <v>16</v>
      </c>
      <c r="C18" t="s">
        <v>100</v>
      </c>
      <c r="D18" t="s">
        <v>25</v>
      </c>
      <c r="E18" t="s">
        <v>43</v>
      </c>
    </row>
    <row r="19" spans="2:5" x14ac:dyDescent="0.2">
      <c r="B19">
        <v>17</v>
      </c>
      <c r="C19" t="s">
        <v>101</v>
      </c>
      <c r="D19" t="s">
        <v>25</v>
      </c>
      <c r="E19" t="s">
        <v>40</v>
      </c>
    </row>
    <row r="20" spans="2:5" x14ac:dyDescent="0.2">
      <c r="B20">
        <v>18</v>
      </c>
      <c r="C20" t="s">
        <v>102</v>
      </c>
      <c r="D20" t="s">
        <v>25</v>
      </c>
      <c r="E20" t="s">
        <v>28</v>
      </c>
    </row>
    <row r="21" spans="2:5" x14ac:dyDescent="0.2">
      <c r="B21">
        <v>19</v>
      </c>
      <c r="C21" t="s">
        <v>103</v>
      </c>
      <c r="D21" t="s">
        <v>25</v>
      </c>
      <c r="E21" t="s">
        <v>41</v>
      </c>
    </row>
    <row r="22" spans="2:5" x14ac:dyDescent="0.2">
      <c r="B22">
        <v>20</v>
      </c>
      <c r="C22" t="s">
        <v>104</v>
      </c>
      <c r="D22" t="s">
        <v>25</v>
      </c>
      <c r="E22" t="s">
        <v>27</v>
      </c>
    </row>
    <row r="23" spans="2:5" x14ac:dyDescent="0.2">
      <c r="B23">
        <v>21</v>
      </c>
      <c r="C23" t="s">
        <v>105</v>
      </c>
      <c r="D23" t="s">
        <v>25</v>
      </c>
      <c r="E23" t="s">
        <v>38</v>
      </c>
    </row>
    <row r="24" spans="2:5" x14ac:dyDescent="0.2">
      <c r="B24">
        <v>22</v>
      </c>
      <c r="C24" t="s">
        <v>106</v>
      </c>
      <c r="D24" t="s">
        <v>29</v>
      </c>
      <c r="E24" t="s">
        <v>39</v>
      </c>
    </row>
    <row r="25" spans="2:5" x14ac:dyDescent="0.2">
      <c r="B25">
        <v>23</v>
      </c>
      <c r="C25" t="s">
        <v>107</v>
      </c>
      <c r="D25" t="s">
        <v>29</v>
      </c>
      <c r="E25" t="s">
        <v>43</v>
      </c>
    </row>
    <row r="26" spans="2:5" x14ac:dyDescent="0.2">
      <c r="B26">
        <v>24</v>
      </c>
      <c r="C26" t="s">
        <v>108</v>
      </c>
      <c r="D26" t="s">
        <v>29</v>
      </c>
      <c r="E26" t="s">
        <v>40</v>
      </c>
    </row>
    <row r="27" spans="2:5" x14ac:dyDescent="0.2">
      <c r="B27">
        <v>25</v>
      </c>
      <c r="C27" t="s">
        <v>109</v>
      </c>
      <c r="D27" t="s">
        <v>29</v>
      </c>
      <c r="E27" t="s">
        <v>28</v>
      </c>
    </row>
    <row r="28" spans="2:5" x14ac:dyDescent="0.2">
      <c r="B28">
        <v>26</v>
      </c>
      <c r="C28" t="s">
        <v>110</v>
      </c>
      <c r="D28" t="s">
        <v>29</v>
      </c>
      <c r="E28" t="s">
        <v>41</v>
      </c>
    </row>
    <row r="29" spans="2:5" x14ac:dyDescent="0.2">
      <c r="B29">
        <v>27</v>
      </c>
      <c r="C29" t="s">
        <v>111</v>
      </c>
      <c r="D29" t="s">
        <v>29</v>
      </c>
      <c r="E29" t="s">
        <v>27</v>
      </c>
    </row>
    <row r="30" spans="2:5" x14ac:dyDescent="0.2">
      <c r="B30">
        <v>28</v>
      </c>
      <c r="C30" t="s">
        <v>112</v>
      </c>
      <c r="D30" t="s">
        <v>29</v>
      </c>
      <c r="E30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ED22-07EA-45D2-BDE6-213463BD7A8F}">
  <dimension ref="B2:E9"/>
  <sheetViews>
    <sheetView workbookViewId="0">
      <selection activeCell="E10" sqref="E10"/>
    </sheetView>
  </sheetViews>
  <sheetFormatPr defaultRowHeight="12.75" x14ac:dyDescent="0.2"/>
  <sheetData>
    <row r="2" spans="2:5" x14ac:dyDescent="0.2">
      <c r="B2" s="1" t="s">
        <v>31</v>
      </c>
      <c r="C2" s="6" t="s">
        <v>70</v>
      </c>
      <c r="D2" s="6" t="s">
        <v>71</v>
      </c>
      <c r="E2" s="6" t="s">
        <v>72</v>
      </c>
    </row>
    <row r="3" spans="2:5" x14ac:dyDescent="0.2">
      <c r="B3" t="s">
        <v>1</v>
      </c>
      <c r="C3">
        <v>1</v>
      </c>
      <c r="D3" s="6" t="s">
        <v>73</v>
      </c>
      <c r="E3">
        <v>0</v>
      </c>
    </row>
    <row r="4" spans="2:5" x14ac:dyDescent="0.2">
      <c r="B4" t="s">
        <v>2</v>
      </c>
      <c r="C4">
        <v>2</v>
      </c>
      <c r="D4" s="6" t="s">
        <v>74</v>
      </c>
      <c r="E4">
        <v>1</v>
      </c>
    </row>
    <row r="5" spans="2:5" x14ac:dyDescent="0.2">
      <c r="B5" t="s">
        <v>3</v>
      </c>
      <c r="C5">
        <v>3</v>
      </c>
      <c r="D5" s="6" t="s">
        <v>74</v>
      </c>
      <c r="E5">
        <v>1</v>
      </c>
    </row>
    <row r="6" spans="2:5" x14ac:dyDescent="0.2">
      <c r="B6" t="s">
        <v>4</v>
      </c>
      <c r="C6">
        <v>4</v>
      </c>
      <c r="D6" s="6" t="s">
        <v>75</v>
      </c>
      <c r="E6">
        <v>1</v>
      </c>
    </row>
    <row r="7" spans="2:5" x14ac:dyDescent="0.2">
      <c r="B7" t="s">
        <v>36</v>
      </c>
      <c r="C7">
        <v>5</v>
      </c>
      <c r="D7" s="6" t="s">
        <v>75</v>
      </c>
      <c r="E7">
        <v>1</v>
      </c>
    </row>
    <row r="8" spans="2:5" x14ac:dyDescent="0.2">
      <c r="B8" t="s">
        <v>37</v>
      </c>
      <c r="C8">
        <v>6</v>
      </c>
      <c r="D8" s="6" t="s">
        <v>76</v>
      </c>
      <c r="E8">
        <v>0</v>
      </c>
    </row>
    <row r="9" spans="2:5" x14ac:dyDescent="0.2">
      <c r="B9" t="s">
        <v>0</v>
      </c>
      <c r="C9">
        <v>7</v>
      </c>
      <c r="D9" s="6" t="s">
        <v>75</v>
      </c>
      <c r="E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B7D5-EE81-407F-8B9E-1D771C5B6C2E}">
  <dimension ref="B2:C22"/>
  <sheetViews>
    <sheetView workbookViewId="0">
      <selection activeCell="F14" sqref="F14"/>
    </sheetView>
  </sheetViews>
  <sheetFormatPr defaultRowHeight="12.75" x14ac:dyDescent="0.2"/>
  <cols>
    <col min="2" max="2" width="20.85546875" bestFit="1" customWidth="1"/>
    <col min="3" max="3" width="12.85546875" bestFit="1" customWidth="1"/>
  </cols>
  <sheetData>
    <row r="2" spans="2:3" x14ac:dyDescent="0.2">
      <c r="B2" s="1" t="s">
        <v>42</v>
      </c>
      <c r="C2" s="6" t="s">
        <v>77</v>
      </c>
    </row>
    <row r="3" spans="2:3" x14ac:dyDescent="0.2">
      <c r="B3" t="s">
        <v>14</v>
      </c>
      <c r="C3">
        <v>1</v>
      </c>
    </row>
    <row r="4" spans="2:3" x14ac:dyDescent="0.2">
      <c r="B4" t="s">
        <v>11</v>
      </c>
      <c r="C4">
        <v>2</v>
      </c>
    </row>
    <row r="5" spans="2:3" x14ac:dyDescent="0.2">
      <c r="B5" t="s">
        <v>12</v>
      </c>
      <c r="C5">
        <v>3</v>
      </c>
    </row>
    <row r="6" spans="2:3" x14ac:dyDescent="0.2">
      <c r="B6" t="s">
        <v>24</v>
      </c>
      <c r="C6">
        <v>4</v>
      </c>
    </row>
    <row r="7" spans="2:3" x14ac:dyDescent="0.2">
      <c r="B7" t="s">
        <v>17</v>
      </c>
      <c r="C7">
        <v>5</v>
      </c>
    </row>
    <row r="8" spans="2:3" x14ac:dyDescent="0.2">
      <c r="B8" t="s">
        <v>10</v>
      </c>
      <c r="C8">
        <v>6</v>
      </c>
    </row>
    <row r="9" spans="2:3" x14ac:dyDescent="0.2">
      <c r="B9" t="s">
        <v>15</v>
      </c>
      <c r="C9">
        <v>7</v>
      </c>
    </row>
    <row r="10" spans="2:3" x14ac:dyDescent="0.2">
      <c r="B10" t="s">
        <v>22</v>
      </c>
      <c r="C10">
        <v>8</v>
      </c>
    </row>
    <row r="11" spans="2:3" x14ac:dyDescent="0.2">
      <c r="B11" t="s">
        <v>20</v>
      </c>
      <c r="C11">
        <v>9</v>
      </c>
    </row>
    <row r="12" spans="2:3" x14ac:dyDescent="0.2">
      <c r="B12" t="s">
        <v>6</v>
      </c>
      <c r="C12">
        <v>10</v>
      </c>
    </row>
    <row r="13" spans="2:3" x14ac:dyDescent="0.2">
      <c r="B13" t="s">
        <v>8</v>
      </c>
      <c r="C13">
        <v>11</v>
      </c>
    </row>
    <row r="14" spans="2:3" x14ac:dyDescent="0.2">
      <c r="B14" t="s">
        <v>7</v>
      </c>
      <c r="C14">
        <v>12</v>
      </c>
    </row>
    <row r="15" spans="2:3" x14ac:dyDescent="0.2">
      <c r="B15" t="s">
        <v>21</v>
      </c>
      <c r="C15">
        <v>13</v>
      </c>
    </row>
    <row r="16" spans="2:3" x14ac:dyDescent="0.2">
      <c r="B16" t="s">
        <v>13</v>
      </c>
      <c r="C16">
        <v>14</v>
      </c>
    </row>
    <row r="17" spans="2:3" x14ac:dyDescent="0.2">
      <c r="B17" t="s">
        <v>5</v>
      </c>
      <c r="C17">
        <v>15</v>
      </c>
    </row>
    <row r="18" spans="2:3" x14ac:dyDescent="0.2">
      <c r="B18" t="s">
        <v>19</v>
      </c>
      <c r="C18">
        <v>16</v>
      </c>
    </row>
    <row r="19" spans="2:3" x14ac:dyDescent="0.2">
      <c r="B19" t="s">
        <v>16</v>
      </c>
      <c r="C19">
        <v>17</v>
      </c>
    </row>
    <row r="20" spans="2:3" x14ac:dyDescent="0.2">
      <c r="B20" t="s">
        <v>23</v>
      </c>
      <c r="C20">
        <v>18</v>
      </c>
    </row>
    <row r="21" spans="2:3" x14ac:dyDescent="0.2">
      <c r="B21" t="s">
        <v>18</v>
      </c>
      <c r="C21">
        <v>19</v>
      </c>
    </row>
    <row r="22" spans="2:3" x14ac:dyDescent="0.2">
      <c r="B22" t="s">
        <v>9</v>
      </c>
      <c r="C22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AB09-64A3-476C-991C-0EC7E4045680}">
  <dimension ref="B2:F14"/>
  <sheetViews>
    <sheetView workbookViewId="0">
      <selection activeCell="E3" sqref="E3:F14"/>
    </sheetView>
  </sheetViews>
  <sheetFormatPr defaultRowHeight="12.75" x14ac:dyDescent="0.2"/>
  <sheetData>
    <row r="2" spans="2:6" x14ac:dyDescent="0.2">
      <c r="B2" s="6" t="s">
        <v>57</v>
      </c>
      <c r="E2" s="6" t="s">
        <v>78</v>
      </c>
    </row>
    <row r="3" spans="2:6" x14ac:dyDescent="0.2">
      <c r="B3">
        <v>1</v>
      </c>
      <c r="C3" s="6" t="s">
        <v>58</v>
      </c>
      <c r="E3">
        <v>1</v>
      </c>
      <c r="F3" s="6" t="s">
        <v>79</v>
      </c>
    </row>
    <row r="4" spans="2:6" x14ac:dyDescent="0.2">
      <c r="B4">
        <v>2</v>
      </c>
      <c r="C4" s="6" t="s">
        <v>59</v>
      </c>
      <c r="E4">
        <v>2</v>
      </c>
      <c r="F4" s="6" t="s">
        <v>79</v>
      </c>
    </row>
    <row r="5" spans="2:6" x14ac:dyDescent="0.2">
      <c r="B5">
        <v>3</v>
      </c>
      <c r="C5" s="6" t="s">
        <v>60</v>
      </c>
      <c r="E5">
        <v>3</v>
      </c>
      <c r="F5" s="6" t="s">
        <v>80</v>
      </c>
    </row>
    <row r="6" spans="2:6" x14ac:dyDescent="0.2">
      <c r="B6">
        <v>4</v>
      </c>
      <c r="C6" s="6" t="s">
        <v>61</v>
      </c>
      <c r="E6">
        <v>4</v>
      </c>
      <c r="F6" s="6" t="s">
        <v>80</v>
      </c>
    </row>
    <row r="7" spans="2:6" x14ac:dyDescent="0.2">
      <c r="B7">
        <v>5</v>
      </c>
      <c r="C7" s="6" t="s">
        <v>62</v>
      </c>
      <c r="E7">
        <v>5</v>
      </c>
      <c r="F7" s="6" t="s">
        <v>80</v>
      </c>
    </row>
    <row r="8" spans="2:6" x14ac:dyDescent="0.2">
      <c r="B8">
        <v>6</v>
      </c>
      <c r="C8" s="6" t="s">
        <v>63</v>
      </c>
      <c r="E8">
        <v>6</v>
      </c>
      <c r="F8" s="6" t="s">
        <v>81</v>
      </c>
    </row>
    <row r="9" spans="2:6" x14ac:dyDescent="0.2">
      <c r="B9">
        <v>7</v>
      </c>
      <c r="C9" s="6" t="s">
        <v>64</v>
      </c>
      <c r="E9">
        <v>7</v>
      </c>
      <c r="F9" s="6" t="s">
        <v>81</v>
      </c>
    </row>
    <row r="10" spans="2:6" x14ac:dyDescent="0.2">
      <c r="B10">
        <v>8</v>
      </c>
      <c r="C10" s="6" t="s">
        <v>65</v>
      </c>
      <c r="E10">
        <v>8</v>
      </c>
      <c r="F10" s="6" t="s">
        <v>81</v>
      </c>
    </row>
    <row r="11" spans="2:6" x14ac:dyDescent="0.2">
      <c r="B11">
        <v>9</v>
      </c>
      <c r="C11" s="6" t="s">
        <v>66</v>
      </c>
      <c r="E11">
        <v>9</v>
      </c>
      <c r="F11" s="6" t="s">
        <v>82</v>
      </c>
    </row>
    <row r="12" spans="2:6" x14ac:dyDescent="0.2">
      <c r="B12">
        <v>10</v>
      </c>
      <c r="C12" s="6" t="s">
        <v>67</v>
      </c>
      <c r="E12">
        <v>10</v>
      </c>
      <c r="F12" s="6" t="s">
        <v>82</v>
      </c>
    </row>
    <row r="13" spans="2:6" x14ac:dyDescent="0.2">
      <c r="B13">
        <v>11</v>
      </c>
      <c r="C13" s="6" t="s">
        <v>68</v>
      </c>
      <c r="E13">
        <v>11</v>
      </c>
      <c r="F13" s="6" t="s">
        <v>82</v>
      </c>
    </row>
    <row r="14" spans="2:6" x14ac:dyDescent="0.2">
      <c r="B14">
        <v>12</v>
      </c>
      <c r="C14" s="6" t="s">
        <v>69</v>
      </c>
      <c r="E14">
        <v>12</v>
      </c>
      <c r="F14" s="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2</vt:i4>
      </vt:variant>
    </vt:vector>
  </HeadingPairs>
  <TitlesOfParts>
    <vt:vector size="9" baseType="lpstr">
      <vt:lpstr>Data</vt:lpstr>
      <vt:lpstr>factsTable</vt:lpstr>
      <vt:lpstr>dimDate</vt:lpstr>
      <vt:lpstr>dimProduct</vt:lpstr>
      <vt:lpstr>dimStore</vt:lpstr>
      <vt:lpstr>dimCostumer</vt:lpstr>
      <vt:lpstr>auxiliar</vt:lpstr>
      <vt:lpstr>meses</vt:lpstr>
      <vt:lpstr>season</vt:lpstr>
    </vt:vector>
  </TitlesOfParts>
  <Company>Universidade de Lisboa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HyperVending</dc:title>
  <dc:subject>Tecnologias de Processamento de Dados</dc:subject>
  <dc:creator>António Ferreira;André Falcão</dc:creator>
  <cp:lastModifiedBy>Castro</cp:lastModifiedBy>
  <dcterms:created xsi:type="dcterms:W3CDTF">2006-03-06T11:59:46Z</dcterms:created>
  <dcterms:modified xsi:type="dcterms:W3CDTF">2022-03-22T17:37:11Z</dcterms:modified>
</cp:coreProperties>
</file>