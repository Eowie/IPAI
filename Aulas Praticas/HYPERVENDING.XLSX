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Mestrado\IPAI\"/>
    </mc:Choice>
  </mc:AlternateContent>
  <xr:revisionPtr revIDLastSave="0" documentId="13_ncr:1_{2D0AC00B-B643-4A69-9A8F-7FF5F63A3B5C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Data" sheetId="1" r:id="rId1"/>
    <sheet name="Question 1" sheetId="2" r:id="rId2"/>
    <sheet name="Question 2" sheetId="4" r:id="rId3"/>
    <sheet name="Question 3" sheetId="6" r:id="rId4"/>
    <sheet name="Question 4" sheetId="7" r:id="rId5"/>
    <sheet name="Question 5" sheetId="8" r:id="rId6"/>
    <sheet name="Question 6" sheetId="9" r:id="rId7"/>
    <sheet name="Question 7" sheetId="10" r:id="rId8"/>
    <sheet name="Question 8" sheetId="11" r:id="rId9"/>
    <sheet name="VLookups" sheetId="3" r:id="rId10"/>
  </sheets>
  <definedNames>
    <definedName name="citycountry">VLookups!$B$3:$C$9</definedName>
    <definedName name="monthseason">VLookups!$H$3:$I$10</definedName>
    <definedName name="producttype">VLookups!$E$3:$F$9</definedName>
  </definedNames>
  <calcPr calcId="191029" concurrentCalc="0"/>
  <pivotCaches>
    <pivotCache cacheId="5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" i="1"/>
  <c r="E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" i="1"/>
</calcChain>
</file>

<file path=xl/sharedStrings.xml><?xml version="1.0" encoding="utf-8"?>
<sst xmlns="http://schemas.openxmlformats.org/spreadsheetml/2006/main" count="1544" uniqueCount="86">
  <si>
    <t>Porto</t>
  </si>
  <si>
    <t>Paris</t>
  </si>
  <si>
    <t>Madrid</t>
  </si>
  <si>
    <t>Barcelona</t>
  </si>
  <si>
    <t>Coimbra</t>
  </si>
  <si>
    <t>EmpSocor</t>
  </si>
  <si>
    <t>CPPO Int.</t>
  </si>
  <si>
    <t>SONAC</t>
  </si>
  <si>
    <t>José Malhoa, Lda</t>
  </si>
  <si>
    <t>DISONI, SA</t>
  </si>
  <si>
    <t>MSI Ent</t>
  </si>
  <si>
    <t>Lisbon Consulting</t>
  </si>
  <si>
    <t>Dist Mecano</t>
  </si>
  <si>
    <t>Joe Doe &amp; Assoc.</t>
  </si>
  <si>
    <t>Mercatlon</t>
  </si>
  <si>
    <t>Int. Machines</t>
  </si>
  <si>
    <t>Mercotex</t>
  </si>
  <si>
    <t>Silva, Silva e Silva</t>
  </si>
  <si>
    <t>Neural Works, Intl</t>
  </si>
  <si>
    <t>Gurgle Searches</t>
  </si>
  <si>
    <t>Frankenstein and Sons</t>
  </si>
  <si>
    <t>h4xOR b0yZ, Intl</t>
  </si>
  <si>
    <t>MyCO Inf. Systems</t>
  </si>
  <si>
    <t>GIGO-FIFO SA</t>
  </si>
  <si>
    <t>Huey, Dewey and Louie</t>
  </si>
  <si>
    <t>Light</t>
  </si>
  <si>
    <t>Junior</t>
  </si>
  <si>
    <t>Cola</t>
  </si>
  <si>
    <t>Capuccino</t>
  </si>
  <si>
    <t>Quality</t>
  </si>
  <si>
    <t>Date</t>
  </si>
  <si>
    <t>Store</t>
  </si>
  <si>
    <t>Line</t>
  </si>
  <si>
    <t>Product</t>
  </si>
  <si>
    <t>Units</t>
  </si>
  <si>
    <t>Family</t>
  </si>
  <si>
    <t>Lisbon</t>
  </si>
  <si>
    <t>London</t>
  </si>
  <si>
    <t>Soup</t>
  </si>
  <si>
    <t>Water</t>
  </si>
  <si>
    <t>Coffee</t>
  </si>
  <si>
    <t>Tea</t>
  </si>
  <si>
    <t>Customer</t>
  </si>
  <si>
    <t>Cocoa</t>
  </si>
  <si>
    <t>Euros</t>
  </si>
  <si>
    <t>Month</t>
  </si>
  <si>
    <t>Sum of Euros</t>
  </si>
  <si>
    <t>Row Labels</t>
  </si>
  <si>
    <t>Grand Total</t>
  </si>
  <si>
    <t>Column Labels</t>
  </si>
  <si>
    <t>Average of Euros</t>
  </si>
  <si>
    <t>Country</t>
  </si>
  <si>
    <t>Store Country</t>
  </si>
  <si>
    <t>Spain</t>
  </si>
  <si>
    <t>Portugal</t>
  </si>
  <si>
    <t>City</t>
  </si>
  <si>
    <t>France</t>
  </si>
  <si>
    <t>United Kingdom</t>
  </si>
  <si>
    <t>Sum of Units</t>
  </si>
  <si>
    <t>Type</t>
  </si>
  <si>
    <t>Cold</t>
  </si>
  <si>
    <t>Hot</t>
  </si>
  <si>
    <t>ProductType</t>
  </si>
  <si>
    <t>May</t>
  </si>
  <si>
    <t>February</t>
  </si>
  <si>
    <t>March</t>
  </si>
  <si>
    <t>April</t>
  </si>
  <si>
    <t>June</t>
  </si>
  <si>
    <t>July</t>
  </si>
  <si>
    <t>August</t>
  </si>
  <si>
    <t>Season</t>
  </si>
  <si>
    <t>January</t>
  </si>
  <si>
    <t>Winter</t>
  </si>
  <si>
    <t>Spring</t>
  </si>
  <si>
    <t>Summer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</si>
  <si>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</si>
  <si>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</si>
  <si>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</si>
  <si>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</si>
  <si>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</si>
  <si>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</si>
  <si>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</si>
  <si>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</si>
  <si>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Total Sum of Units</t>
  </si>
  <si>
    <t>Total Count of Customer</t>
  </si>
  <si>
    <t>Count of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</si>
</sst>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ow" refreshedDate="44635.742331828704" createdVersion="7" refreshedVersion="7" minRefreshableVersion="3" recordCount="338" xr:uid="{9B74FB95-708F-474E-8621-0E5DBC13CFA3}">
  <cacheSource type="worksheet">
    <worksheetSource ref="B2:M340" sheet="Data"/>
  </cacheSource>
  <cacheFields count="13">
    <cacheField name="Date" numFmtId="164">
      <sharedItems containsSemiMixedTypes="0" containsNonDate="0" containsDate="1" containsString="0" minDate="2005-02-24T11:44:49" maxDate="2005-08-26T23:56:18" count="338">
        <d v="2005-05-05T06:13:51"/>
        <d v="2005-05-02T15:54:37"/>
        <d v="2005-05-08T14:32:00"/>
        <d v="2005-06-16T20:36:27"/>
        <d v="2005-04-13T07:11:16"/>
        <d v="2005-04-21T03:06:20"/>
        <d v="2005-04-03T11:05:03"/>
        <d v="2005-06-01T22:07:20"/>
        <d v="2005-06-04T10:30:38"/>
        <d v="2005-03-07T14:43:03"/>
        <d v="2005-03-25T13:58:05"/>
        <d v="2005-04-08T19:01:52"/>
        <d v="2005-04-25T13:24:15"/>
        <d v="2005-04-26T22:15:23"/>
        <d v="2005-05-20T00:51:59"/>
        <d v="2005-06-10T17:40:06"/>
        <d v="2005-07-13T05:59:58"/>
        <d v="2005-05-15T19:21:21"/>
        <d v="2005-05-21T22:01:38"/>
        <d v="2005-04-24T02:51:39"/>
        <d v="2005-06-15T10:50:55"/>
        <d v="2005-03-20T14:32:07"/>
        <d v="2005-05-11T23:47:23"/>
        <d v="2005-05-15T23:07:33"/>
        <d v="2005-03-21T04:20:59"/>
        <d v="2005-04-22T04:35:10"/>
        <d v="2005-04-23T23:25:15"/>
        <d v="2005-04-28T21:33:13"/>
        <d v="2005-05-19T21:12:52"/>
        <d v="2005-05-09T08:40:31"/>
        <d v="2005-04-09T21:35:09"/>
        <d v="2005-04-19T00:24:54"/>
        <d v="2005-04-14T10:45:15"/>
        <d v="2005-05-11T13:35:34"/>
        <d v="2005-06-11T20:11:53"/>
        <d v="2005-06-22T16:08:58"/>
        <d v="2005-05-17T13:10:33"/>
        <d v="2005-03-07T06:15:13"/>
        <d v="2005-05-09T05:14:37"/>
        <d v="2005-05-20T03:13:05"/>
        <d v="2005-04-15T19:31:38"/>
        <d v="2005-06-11T00:58:26"/>
        <d v="2005-06-17T14:17:00"/>
        <d v="2005-04-26T05:50:47"/>
        <d v="2005-05-17T01:49:19"/>
        <d v="2005-08-02T20:12:17"/>
        <d v="2005-05-09T00:58:17"/>
        <d v="2005-07-23T03:47:53"/>
        <d v="2005-06-08T04:09:39"/>
        <d v="2005-07-11T12:18:43"/>
        <d v="2005-06-24T16:00:54"/>
        <d v="2005-07-13T01:37:37"/>
        <d v="2005-08-13T17:48:25"/>
        <d v="2005-05-04T11:56:27"/>
        <d v="2005-06-26T09:34:41"/>
        <d v="2005-05-26T18:15:34"/>
        <d v="2005-06-22T08:38:46"/>
        <d v="2005-06-29T02:11:51"/>
        <d v="2005-08-07T04:56:21"/>
        <d v="2005-06-01T01:46:52"/>
        <d v="2005-07-30T18:25:15"/>
        <d v="2005-06-14T09:19:54"/>
        <d v="2005-08-26T12:45:53"/>
        <d v="2005-05-21T20:14:30"/>
        <d v="2005-06-22T01:20:32"/>
        <d v="2005-06-23T09:57:43"/>
        <d v="2005-07-18T21:28:36"/>
        <d v="2005-07-29T12:05:37"/>
        <d v="2005-06-07T01:58:10"/>
        <d v="2005-07-20T11:53:40"/>
        <d v="2005-07-04T08:56:55"/>
        <d v="2005-07-09T07:33:15"/>
        <d v="2005-07-22T22:38:31"/>
        <d v="2005-08-13T21:20:58"/>
        <d v="2005-05-31T04:09:45"/>
        <d v="2005-06-11T03:23:12"/>
        <d v="2005-06-30T14:44:09"/>
        <d v="2005-04-30T23:02:40"/>
        <d v="2005-05-27T14:09:30"/>
        <d v="2005-03-22T09:24:18"/>
        <d v="2005-02-28T21:04:39"/>
        <d v="2005-05-19T23:33:58"/>
        <d v="2005-04-27T01:40:08"/>
        <d v="2005-05-21T10:47:44"/>
        <d v="2005-06-03T00:00:00"/>
        <d v="2005-05-18T19:30:23"/>
        <d v="2005-05-29T08:03:28"/>
        <d v="2005-05-24T18:57:54"/>
        <d v="2005-05-30T12:02:07"/>
        <d v="2005-06-04T04:10:21"/>
        <d v="2005-06-21T17:46:30"/>
        <d v="2005-03-20T17:09:36"/>
        <d v="2005-05-04T06:17:35"/>
        <d v="2005-05-26T19:12:52"/>
        <d v="2005-04-10T14:18:45"/>
        <d v="2005-04-13T14:03:22"/>
        <d v="2005-06-14T10:03:56"/>
        <d v="2005-04-03T05:56:59"/>
        <d v="2005-04-09T12:13:54"/>
        <d v="2005-04-22T14:36:43"/>
        <d v="2005-08-04T18:15:27"/>
        <d v="2005-08-11T23:00:58"/>
        <d v="2005-03-10T05:34:31"/>
        <d v="2005-04-24T17:24:40"/>
        <d v="2005-05-19T10:55:04"/>
        <d v="2005-05-21T19:19:57"/>
        <d v="2005-05-22T20:26:29"/>
        <d v="2005-05-30T08:29:31"/>
        <d v="2005-03-27T10:06:10"/>
        <d v="2005-04-29T03:47:31"/>
        <d v="2005-05-02T17:26:20"/>
        <d v="2005-05-08T09:30:38"/>
        <d v="2005-05-31T08:54:19"/>
        <d v="2005-05-31T20:52:40"/>
        <d v="2005-06-01T01:37:19"/>
        <d v="2005-07-01T09:44:06"/>
        <d v="2005-05-25T07:20:35"/>
        <d v="2005-05-29T20:51:49"/>
        <d v="2005-06-20T18:53:35"/>
        <d v="2005-04-10T01:33:31"/>
        <d v="2005-07-18T17:58:58"/>
        <d v="2005-05-01T03:02:40"/>
        <d v="2005-05-30T21:05:51"/>
        <d v="2005-06-05T02:16:39"/>
        <d v="2005-04-06T11:16:46"/>
        <d v="2005-05-08T21:19:39"/>
        <d v="2005-05-16T04:50:04"/>
        <d v="2005-03-20T10:27:58"/>
        <d v="2005-05-06T23:13:43"/>
        <d v="2005-06-03T10:10:07"/>
        <d v="2005-06-06T00:38:32"/>
        <d v="2005-06-15T10:41:37"/>
        <d v="2005-03-21T16:49:24"/>
        <d v="2005-06-21T22:52:40"/>
        <d v="2005-04-14T15:18:32"/>
        <d v="2005-05-08T13:03:14"/>
        <d v="2005-08-16T22:00:32"/>
        <d v="2005-05-10T20:16:38"/>
        <d v="2005-02-24T11:44:49"/>
        <d v="2005-05-17T00:38:20"/>
        <d v="2005-08-21T03:05:31"/>
        <d v="2005-04-02T16:13:09"/>
        <d v="2005-04-29T14:00:10"/>
        <d v="2005-04-28T10:50:38"/>
        <d v="2005-05-09T21:30:56"/>
        <d v="2005-08-13T03:47:44"/>
        <d v="2005-03-24T03:33:36"/>
        <d v="2005-04-16T23:12:40"/>
        <d v="2005-05-13T06:04:27"/>
        <d v="2005-05-05T14:20:12"/>
        <d v="2005-04-14T19:38:54"/>
        <d v="2005-04-28T00:10:41"/>
        <d v="2005-05-25T06:37:45"/>
        <d v="2005-06-26T23:37:51"/>
        <d v="2005-04-15T02:30:44"/>
        <d v="2005-04-28T21:16:44"/>
        <d v="2005-04-19T14:00:29"/>
        <d v="2005-05-17T10:15:12"/>
        <d v="2005-05-26T17:10:10"/>
        <d v="2005-06-21T13:56:15"/>
        <d v="2005-04-13T19:06:08"/>
        <d v="2005-05-11T00:27:05"/>
        <d v="2005-05-17T15:12:01"/>
        <d v="2005-05-24T13:08:41"/>
        <d v="2005-06-14T18:08:54"/>
        <d v="2005-02-27T10:24:24"/>
        <d v="2005-05-18T12:51:07"/>
        <d v="2005-05-18T18:15:24"/>
        <d v="2005-06-12T16:11:32"/>
        <d v="2005-08-08T05:14:31"/>
        <d v="2005-05-08T11:42:21"/>
        <d v="2005-05-14T11:36:40"/>
        <d v="2005-06-22T14:01:21"/>
        <d v="2005-05-23T09:24:13"/>
        <d v="2005-05-03T07:54:47"/>
        <d v="2005-05-24T15:28:30"/>
        <d v="2005-06-08T14:31:56"/>
        <d v="2005-07-08T13:33:49"/>
        <d v="2005-03-16T13:24:02"/>
        <d v="2005-04-21T20:03:35"/>
        <d v="2005-05-02T11:44:21"/>
        <d v="2005-05-04T06:17:54"/>
        <d v="2005-05-19T00:40:54"/>
        <d v="2005-04-05T08:13:43"/>
        <d v="2005-04-10T09:42:38"/>
        <d v="2005-05-27T03:01:08"/>
        <d v="2005-03-29T20:04:58"/>
        <d v="2005-05-25T08:35:59"/>
        <d v="2005-04-07T22:19:15"/>
        <d v="2005-05-04T17:20:34"/>
        <d v="2005-06-09T08:07:37"/>
        <d v="2005-07-15T12:31:38"/>
        <d v="2005-04-01T18:04:18"/>
        <d v="2005-03-20T23:57:10"/>
        <d v="2005-04-20T17:04:22"/>
        <d v="2005-05-05T20:34:18"/>
        <d v="2005-03-17T09:35:27"/>
        <d v="2005-05-07T11:29:35"/>
        <d v="2005-06-09T20:22:58"/>
        <d v="2005-06-28T14:26:29"/>
        <d v="2005-04-22T18:56:22"/>
        <d v="2005-04-27T15:57:10"/>
        <d v="2005-05-01T10:59:56"/>
        <d v="2005-05-26T14:01:22"/>
        <d v="2005-07-02T04:27:53"/>
        <d v="2005-05-02T11:05:20"/>
        <d v="2005-05-23T03:33:26"/>
        <d v="2005-05-13T09:45:59"/>
        <d v="2005-05-17T02:48:48"/>
        <d v="2005-04-19T16:19:45"/>
        <d v="2005-04-30T15:45:39"/>
        <d v="2005-05-30T06:39:58"/>
        <d v="2005-06-03T03:26:42"/>
        <d v="2005-06-03T10:43:19"/>
        <d v="2005-06-08T18:00:11"/>
        <d v="2005-03-18T17:43:22"/>
        <d v="2005-04-16T22:11:59"/>
        <d v="2005-04-08T08:49:45"/>
        <d v="2005-04-26T21:40:17"/>
        <d v="2005-04-28T23:30:11"/>
        <d v="2005-05-11T20:06:08"/>
        <d v="2005-04-23T05:23:19"/>
        <d v="2005-04-28T07:13:58"/>
        <d v="2005-06-18T14:25:36"/>
        <d v="2005-06-07T05:55:16"/>
        <d v="2005-04-15T15:25:09"/>
        <d v="2005-05-03T19:09:50"/>
        <d v="2005-05-01T04:11:46"/>
        <d v="2005-03-05T18:04:46"/>
        <d v="2005-05-03T16:23:20"/>
        <d v="2005-04-02T03:35:14"/>
        <d v="2005-05-12T12:17:23"/>
        <d v="2005-05-14T16:01:04"/>
        <d v="2005-03-18T03:35:58"/>
        <d v="2005-05-24T21:19:57"/>
        <d v="2005-05-25T07:50:25"/>
        <d v="2005-05-26T04:48:36"/>
        <d v="2005-05-31T03:16:41"/>
        <d v="2005-07-04T15:38:45"/>
        <d v="2005-05-10T03:59:00"/>
        <d v="2005-05-05T07:39:02"/>
        <d v="2005-06-06T21:42:27"/>
        <d v="2005-06-13T12:20:02"/>
        <d v="2005-07-04T15:20:37"/>
        <d v="2005-04-14T08:38:26"/>
        <d v="2005-05-16T02:06:23"/>
        <d v="2005-05-08T14:58:47"/>
        <d v="2005-04-06T04:16:56"/>
        <d v="2005-04-13T09:48:06"/>
        <d v="2005-05-02T13:51:47"/>
        <d v="2005-03-29T19:05:08"/>
        <d v="2005-04-03T20:49:00"/>
        <d v="2005-05-20T12:31:39"/>
        <d v="2005-04-20T09:55:02"/>
        <d v="2005-04-13T19:06:29"/>
        <d v="2005-04-22T00:20:33"/>
        <d v="2005-05-03T23:36:28"/>
        <d v="2005-05-05T18:10:41"/>
        <d v="2005-05-06T06:15:06"/>
        <d v="2005-03-24T16:33:43"/>
        <d v="2005-04-12T11:30:13"/>
        <d v="2005-05-25T11:28:00"/>
        <d v="2005-06-01T15:42:54"/>
        <d v="2005-05-06T06:42:35"/>
        <d v="2005-05-31T00:05:34"/>
        <d v="2005-03-12T21:32:19"/>
        <d v="2005-04-17T20:04:46"/>
        <d v="2005-05-13T18:16:58"/>
        <d v="2005-05-25T01:05:59"/>
        <d v="2005-04-19T01:05:13"/>
        <d v="2005-05-29T08:20:20"/>
        <d v="2005-03-31T12:57:48"/>
        <d v="2005-06-12T06:25:27"/>
        <d v="2005-06-26T18:49:33"/>
        <d v="2005-07-06T02:07:08"/>
        <d v="2005-06-09T06:17:56"/>
        <d v="2005-06-17T09:35:06"/>
        <d v="2005-03-07T04:19:22"/>
        <d v="2005-04-17T11:03:23"/>
        <d v="2005-06-01T15:14:46"/>
        <d v="2005-06-26T07:17:25"/>
        <d v="2005-04-23T21:18:02"/>
        <d v="2005-05-16T08:38:53"/>
        <d v="2005-07-08T05:10:00"/>
        <d v="2005-08-02T10:33:01"/>
        <d v="2005-04-27T07:40:46"/>
        <d v="2005-05-01T21:12:08"/>
        <d v="2005-03-30T06:59:33"/>
        <d v="2005-04-17T16:25:39"/>
        <d v="2005-05-08T18:16:34"/>
        <d v="2005-05-15T09:38:55"/>
        <d v="2005-06-22T00:56:33"/>
        <d v="2005-05-10T09:38:30"/>
        <d v="2005-06-07T21:33:10"/>
        <d v="2005-06-14T16:36:36"/>
        <d v="2005-03-21T09:26:54"/>
        <d v="2005-04-13T09:22:32"/>
        <d v="2005-03-19T11:39:38"/>
        <d v="2005-08-21T23:23:29"/>
        <d v="2005-06-10T19:28:04"/>
        <d v="2005-04-24T13:37:12"/>
        <d v="2005-04-25T19:13:43"/>
        <d v="2005-05-17T00:51:26"/>
        <d v="2005-05-22T16:10:35"/>
        <d v="2005-03-13T07:35:38"/>
        <d v="2005-04-26T09:50:43"/>
        <d v="2005-05-24T22:30:45"/>
        <d v="2005-06-09T12:27:42"/>
        <d v="2005-06-19T15:39:32"/>
        <d v="2005-06-24T20:00:10"/>
        <d v="2005-07-01T23:47:09"/>
        <d v="2005-06-02T14:21:05"/>
        <d v="2005-06-10T19:37:14"/>
        <d v="2005-04-23T10:17:19"/>
        <d v="2005-04-09T12:40:38"/>
        <d v="2005-08-16T01:50:41"/>
        <d v="2005-04-18T01:31:14"/>
        <d v="2005-05-30T13:30:45"/>
        <d v="2005-06-08T14:21:41"/>
        <d v="2005-06-17T09:36:58"/>
        <d v="2005-06-28T17:51:24"/>
        <d v="2005-07-08T01:16:23"/>
        <d v="2005-03-30T17:14:13"/>
        <d v="2005-04-21T03:49:27"/>
        <d v="2005-04-19T05:43:01"/>
        <d v="2005-05-28T22:14:16"/>
        <d v="2005-08-11T06:39:26"/>
        <d v="2005-08-17T16:03:59"/>
        <d v="2005-08-25T00:37:08"/>
        <d v="2005-04-21T07:40:32"/>
        <d v="2005-06-18T09:56:53"/>
        <d v="2005-04-09T15:03:31"/>
        <d v="2005-07-16T04:27:55"/>
        <d v="2005-04-13T20:22:54"/>
        <d v="2005-04-25T06:24:00"/>
        <d v="2005-05-29T11:46:37"/>
        <d v="2005-08-26T23:56:18"/>
        <d v="2005-04-20T08:26:58"/>
      </sharedItems>
      <fieldGroup par="12" base="0">
        <rangePr groupBy="days" startDate="2005-02-24T11:44:49" endDate="2005-08-26T23:56:18"/>
        <groupItems count="368">
          <s v="&lt;24/02/200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8/2005"/>
        </groupItems>
      </fieldGroup>
    </cacheField>
    <cacheField name="Weekday" numFmtId="164">
      <sharedItems count="7">
        <s v="Thursday"/>
        <s v="Monday"/>
        <s v="Sunday"/>
        <s v="Wednesday"/>
        <s v="Saturday"/>
        <s v="Friday"/>
        <s v="Tuesday"/>
      </sharedItems>
    </cacheField>
    <cacheField name="Month" numFmtId="164">
      <sharedItems count="7">
        <s v="May"/>
        <s v="June"/>
        <s v="April"/>
        <s v="March"/>
        <s v="July"/>
        <s v="August"/>
        <s v="February"/>
      </sharedItems>
    </cacheField>
    <cacheField name="Season" numFmtId="164">
      <sharedItems count="3">
        <s v="Spring"/>
        <s v="Summer"/>
        <s v="Winter"/>
      </sharedItems>
    </cacheField>
    <cacheField name="Store" numFmtId="0">
      <sharedItems count="7">
        <s v="Barcelona"/>
        <s v="Coimbra"/>
        <s v="Lisbon"/>
        <s v="London"/>
        <s v="Madrid"/>
        <s v="Paris"/>
        <s v="Porto"/>
      </sharedItems>
    </cacheField>
    <cacheField name="Store Country" numFmtId="0">
      <sharedItems count="4">
        <s v="Spain"/>
        <s v="Portugal"/>
        <s v="United Kingdom"/>
        <s v="France"/>
      </sharedItems>
    </cacheField>
    <cacheField name="Customer" numFmtId="0">
      <sharedItems count="20">
        <s v="Mercatlon"/>
        <s v="Huey, Dewey and Louie"/>
        <s v="José Malhoa, Lda"/>
        <s v="Joe Doe &amp; Assoc."/>
        <s v="CPPO Int."/>
        <s v="Mercotex"/>
        <s v="Dist Mecano"/>
        <s v="EmpSocor"/>
        <s v="MSI Ent"/>
        <s v="SONAC"/>
        <s v="Frankenstein and Sons"/>
        <s v="h4xOR b0yZ, Intl"/>
        <s v="Lisbon Consulting"/>
        <s v="Silva, Silva e Silva"/>
        <s v="GIGO-FIFO SA"/>
        <s v="Int. Machines"/>
        <s v="Gurgle Searches"/>
        <s v="DISONI, SA"/>
        <s v="Neural Works, Intl"/>
        <s v="MyCO Inf. Systems"/>
      </sharedItems>
    </cacheField>
    <cacheField name="Line" numFmtId="0">
      <sharedItems count="4">
        <s v="Family"/>
        <s v="Junior"/>
        <s v="Light"/>
        <s v="Quality"/>
      </sharedItems>
    </cacheField>
    <cacheField name="Product" numFmtId="0">
      <sharedItems count="7">
        <s v="Water"/>
        <s v="Coffee"/>
        <s v="Capuccino"/>
        <s v="Tea"/>
        <s v="Cola"/>
        <s v="Cocoa"/>
        <s v="Soup"/>
      </sharedItems>
    </cacheField>
    <cacheField name="ProductType" numFmtId="0">
      <sharedItems count="2">
        <s v="Cold"/>
        <s v="Hot"/>
      </sharedItems>
    </cacheField>
    <cacheField name="Units" numFmtId="0">
      <sharedItems containsSemiMixedTypes="0" containsString="0" containsNumber="1" containsInteger="1" minValue="5" maxValue="995"/>
    </cacheField>
    <cacheField name="Euros" numFmtId="2">
      <sharedItems containsSemiMixedTypes="0" containsString="0" containsNumber="1" minValue="5.72" maxValue="7031.77"/>
    </cacheField>
    <cacheField name="Months" numFmtId="0" databaseField="0">
      <fieldGroup base="0">
        <rangePr groupBy="months" startDate="2005-02-24T11:44:49" endDate="2005-08-26T23:56:18"/>
        <groupItems count="14">
          <s v="&lt;24/02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8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">
  <r>
    <x v="0"/>
    <x v="0"/>
    <x v="0"/>
    <x v="0"/>
    <x v="0"/>
    <x v="0"/>
    <x v="0"/>
    <x v="0"/>
    <x v="0"/>
    <x v="0"/>
    <n v="605"/>
    <n v="269.79000000000002"/>
  </r>
  <r>
    <x v="1"/>
    <x v="1"/>
    <x v="0"/>
    <x v="0"/>
    <x v="0"/>
    <x v="0"/>
    <x v="0"/>
    <x v="0"/>
    <x v="1"/>
    <x v="1"/>
    <n v="525"/>
    <n v="1095.29"/>
  </r>
  <r>
    <x v="2"/>
    <x v="2"/>
    <x v="0"/>
    <x v="0"/>
    <x v="0"/>
    <x v="0"/>
    <x v="0"/>
    <x v="0"/>
    <x v="1"/>
    <x v="1"/>
    <n v="565"/>
    <n v="1233.01"/>
  </r>
  <r>
    <x v="3"/>
    <x v="0"/>
    <x v="1"/>
    <x v="1"/>
    <x v="0"/>
    <x v="0"/>
    <x v="1"/>
    <x v="0"/>
    <x v="1"/>
    <x v="1"/>
    <n v="800"/>
    <n v="1438.51"/>
  </r>
  <r>
    <x v="4"/>
    <x v="3"/>
    <x v="2"/>
    <x v="0"/>
    <x v="0"/>
    <x v="0"/>
    <x v="2"/>
    <x v="0"/>
    <x v="2"/>
    <x v="1"/>
    <n v="900"/>
    <n v="3404.34"/>
  </r>
  <r>
    <x v="5"/>
    <x v="0"/>
    <x v="2"/>
    <x v="0"/>
    <x v="0"/>
    <x v="0"/>
    <x v="3"/>
    <x v="0"/>
    <x v="3"/>
    <x v="1"/>
    <n v="225"/>
    <n v="608.01"/>
  </r>
  <r>
    <x v="6"/>
    <x v="2"/>
    <x v="2"/>
    <x v="0"/>
    <x v="0"/>
    <x v="0"/>
    <x v="4"/>
    <x v="0"/>
    <x v="4"/>
    <x v="0"/>
    <n v="80"/>
    <n v="236.11"/>
  </r>
  <r>
    <x v="7"/>
    <x v="3"/>
    <x v="1"/>
    <x v="1"/>
    <x v="0"/>
    <x v="0"/>
    <x v="5"/>
    <x v="0"/>
    <x v="4"/>
    <x v="0"/>
    <n v="760"/>
    <n v="2227.0300000000002"/>
  </r>
  <r>
    <x v="8"/>
    <x v="4"/>
    <x v="1"/>
    <x v="1"/>
    <x v="0"/>
    <x v="0"/>
    <x v="0"/>
    <x v="0"/>
    <x v="4"/>
    <x v="0"/>
    <n v="5"/>
    <n v="14.27"/>
  </r>
  <r>
    <x v="9"/>
    <x v="1"/>
    <x v="3"/>
    <x v="0"/>
    <x v="0"/>
    <x v="0"/>
    <x v="6"/>
    <x v="1"/>
    <x v="0"/>
    <x v="0"/>
    <n v="560"/>
    <n v="238.16"/>
  </r>
  <r>
    <x v="10"/>
    <x v="5"/>
    <x v="3"/>
    <x v="0"/>
    <x v="0"/>
    <x v="0"/>
    <x v="7"/>
    <x v="1"/>
    <x v="0"/>
    <x v="0"/>
    <n v="785"/>
    <n v="315.67"/>
  </r>
  <r>
    <x v="11"/>
    <x v="5"/>
    <x v="2"/>
    <x v="0"/>
    <x v="0"/>
    <x v="0"/>
    <x v="8"/>
    <x v="1"/>
    <x v="0"/>
    <x v="0"/>
    <n v="760"/>
    <n v="305.92"/>
  </r>
  <r>
    <x v="12"/>
    <x v="1"/>
    <x v="2"/>
    <x v="0"/>
    <x v="0"/>
    <x v="0"/>
    <x v="4"/>
    <x v="1"/>
    <x v="0"/>
    <x v="0"/>
    <n v="790"/>
    <n v="326.39"/>
  </r>
  <r>
    <x v="13"/>
    <x v="6"/>
    <x v="2"/>
    <x v="0"/>
    <x v="0"/>
    <x v="0"/>
    <x v="6"/>
    <x v="1"/>
    <x v="0"/>
    <x v="0"/>
    <n v="440"/>
    <n v="174.53"/>
  </r>
  <r>
    <x v="14"/>
    <x v="5"/>
    <x v="0"/>
    <x v="0"/>
    <x v="0"/>
    <x v="0"/>
    <x v="9"/>
    <x v="1"/>
    <x v="0"/>
    <x v="0"/>
    <n v="465"/>
    <n v="206.68"/>
  </r>
  <r>
    <x v="15"/>
    <x v="5"/>
    <x v="1"/>
    <x v="1"/>
    <x v="0"/>
    <x v="0"/>
    <x v="8"/>
    <x v="1"/>
    <x v="0"/>
    <x v="0"/>
    <n v="340"/>
    <n v="1024.6500000000001"/>
  </r>
  <r>
    <x v="16"/>
    <x v="3"/>
    <x v="4"/>
    <x v="1"/>
    <x v="0"/>
    <x v="0"/>
    <x v="9"/>
    <x v="1"/>
    <x v="0"/>
    <x v="0"/>
    <n v="610"/>
    <n v="1083.82"/>
  </r>
  <r>
    <x v="17"/>
    <x v="2"/>
    <x v="0"/>
    <x v="0"/>
    <x v="0"/>
    <x v="0"/>
    <x v="10"/>
    <x v="1"/>
    <x v="5"/>
    <x v="1"/>
    <n v="685"/>
    <n v="1364.1"/>
  </r>
  <r>
    <x v="18"/>
    <x v="4"/>
    <x v="0"/>
    <x v="0"/>
    <x v="0"/>
    <x v="0"/>
    <x v="11"/>
    <x v="1"/>
    <x v="5"/>
    <x v="1"/>
    <n v="735"/>
    <n v="3409.87"/>
  </r>
  <r>
    <x v="19"/>
    <x v="2"/>
    <x v="2"/>
    <x v="0"/>
    <x v="0"/>
    <x v="0"/>
    <x v="5"/>
    <x v="1"/>
    <x v="1"/>
    <x v="1"/>
    <n v="215"/>
    <n v="175.43"/>
  </r>
  <r>
    <x v="20"/>
    <x v="3"/>
    <x v="1"/>
    <x v="1"/>
    <x v="0"/>
    <x v="0"/>
    <x v="12"/>
    <x v="1"/>
    <x v="1"/>
    <x v="1"/>
    <n v="690"/>
    <n v="548.70000000000005"/>
  </r>
  <r>
    <x v="21"/>
    <x v="2"/>
    <x v="3"/>
    <x v="0"/>
    <x v="0"/>
    <x v="0"/>
    <x v="12"/>
    <x v="1"/>
    <x v="2"/>
    <x v="1"/>
    <n v="335"/>
    <n v="558.33000000000004"/>
  </r>
  <r>
    <x v="22"/>
    <x v="3"/>
    <x v="0"/>
    <x v="0"/>
    <x v="0"/>
    <x v="0"/>
    <x v="1"/>
    <x v="1"/>
    <x v="3"/>
    <x v="1"/>
    <n v="245"/>
    <n v="285.17"/>
  </r>
  <r>
    <x v="23"/>
    <x v="2"/>
    <x v="0"/>
    <x v="0"/>
    <x v="0"/>
    <x v="0"/>
    <x v="13"/>
    <x v="1"/>
    <x v="3"/>
    <x v="1"/>
    <n v="330"/>
    <n v="372.18"/>
  </r>
  <r>
    <x v="24"/>
    <x v="1"/>
    <x v="3"/>
    <x v="0"/>
    <x v="0"/>
    <x v="0"/>
    <x v="2"/>
    <x v="1"/>
    <x v="4"/>
    <x v="0"/>
    <n v="610"/>
    <n v="755.03"/>
  </r>
  <r>
    <x v="25"/>
    <x v="5"/>
    <x v="2"/>
    <x v="0"/>
    <x v="0"/>
    <x v="0"/>
    <x v="2"/>
    <x v="1"/>
    <x v="4"/>
    <x v="0"/>
    <n v="675"/>
    <n v="868.74"/>
  </r>
  <r>
    <x v="26"/>
    <x v="4"/>
    <x v="2"/>
    <x v="0"/>
    <x v="0"/>
    <x v="0"/>
    <x v="8"/>
    <x v="1"/>
    <x v="4"/>
    <x v="0"/>
    <n v="265"/>
    <n v="329.64"/>
  </r>
  <r>
    <x v="27"/>
    <x v="0"/>
    <x v="2"/>
    <x v="0"/>
    <x v="0"/>
    <x v="0"/>
    <x v="14"/>
    <x v="1"/>
    <x v="6"/>
    <x v="1"/>
    <n v="315"/>
    <n v="2083.09"/>
  </r>
  <r>
    <x v="28"/>
    <x v="0"/>
    <x v="0"/>
    <x v="0"/>
    <x v="0"/>
    <x v="0"/>
    <x v="11"/>
    <x v="1"/>
    <x v="6"/>
    <x v="1"/>
    <n v="70"/>
    <n v="487.27"/>
  </r>
  <r>
    <x v="29"/>
    <x v="1"/>
    <x v="0"/>
    <x v="0"/>
    <x v="0"/>
    <x v="0"/>
    <x v="9"/>
    <x v="2"/>
    <x v="5"/>
    <x v="1"/>
    <n v="160"/>
    <n v="503.11"/>
  </r>
  <r>
    <x v="30"/>
    <x v="4"/>
    <x v="2"/>
    <x v="0"/>
    <x v="0"/>
    <x v="0"/>
    <x v="1"/>
    <x v="2"/>
    <x v="2"/>
    <x v="1"/>
    <n v="740"/>
    <n v="2156.4699999999998"/>
  </r>
  <r>
    <x v="31"/>
    <x v="6"/>
    <x v="2"/>
    <x v="0"/>
    <x v="0"/>
    <x v="0"/>
    <x v="8"/>
    <x v="2"/>
    <x v="2"/>
    <x v="1"/>
    <n v="735"/>
    <n v="1874.23"/>
  </r>
  <r>
    <x v="32"/>
    <x v="0"/>
    <x v="2"/>
    <x v="0"/>
    <x v="0"/>
    <x v="0"/>
    <x v="7"/>
    <x v="2"/>
    <x v="3"/>
    <x v="1"/>
    <n v="795"/>
    <n v="1502.46"/>
  </r>
  <r>
    <x v="33"/>
    <x v="3"/>
    <x v="0"/>
    <x v="0"/>
    <x v="0"/>
    <x v="0"/>
    <x v="11"/>
    <x v="2"/>
    <x v="4"/>
    <x v="0"/>
    <n v="145"/>
    <n v="312.55"/>
  </r>
  <r>
    <x v="34"/>
    <x v="4"/>
    <x v="1"/>
    <x v="1"/>
    <x v="0"/>
    <x v="0"/>
    <x v="3"/>
    <x v="2"/>
    <x v="4"/>
    <x v="0"/>
    <n v="35"/>
    <n v="185.62"/>
  </r>
  <r>
    <x v="35"/>
    <x v="3"/>
    <x v="1"/>
    <x v="1"/>
    <x v="0"/>
    <x v="0"/>
    <x v="1"/>
    <x v="3"/>
    <x v="0"/>
    <x v="0"/>
    <n v="970"/>
    <n v="1156.69"/>
  </r>
  <r>
    <x v="36"/>
    <x v="6"/>
    <x v="0"/>
    <x v="0"/>
    <x v="0"/>
    <x v="0"/>
    <x v="10"/>
    <x v="3"/>
    <x v="5"/>
    <x v="1"/>
    <n v="445"/>
    <n v="2433.7399999999998"/>
  </r>
  <r>
    <x v="37"/>
    <x v="1"/>
    <x v="3"/>
    <x v="0"/>
    <x v="0"/>
    <x v="0"/>
    <x v="15"/>
    <x v="3"/>
    <x v="2"/>
    <x v="1"/>
    <n v="190"/>
    <n v="825.48"/>
  </r>
  <r>
    <x v="38"/>
    <x v="1"/>
    <x v="0"/>
    <x v="0"/>
    <x v="0"/>
    <x v="0"/>
    <x v="7"/>
    <x v="3"/>
    <x v="3"/>
    <x v="1"/>
    <n v="860"/>
    <n v="2613.4499999999998"/>
  </r>
  <r>
    <x v="39"/>
    <x v="5"/>
    <x v="0"/>
    <x v="0"/>
    <x v="0"/>
    <x v="0"/>
    <x v="0"/>
    <x v="3"/>
    <x v="3"/>
    <x v="1"/>
    <n v="150"/>
    <n v="491.44"/>
  </r>
  <r>
    <x v="40"/>
    <x v="5"/>
    <x v="2"/>
    <x v="0"/>
    <x v="0"/>
    <x v="0"/>
    <x v="12"/>
    <x v="3"/>
    <x v="4"/>
    <x v="0"/>
    <n v="945"/>
    <n v="3345.59"/>
  </r>
  <r>
    <x v="41"/>
    <x v="4"/>
    <x v="1"/>
    <x v="1"/>
    <x v="0"/>
    <x v="0"/>
    <x v="16"/>
    <x v="3"/>
    <x v="4"/>
    <x v="0"/>
    <n v="785"/>
    <n v="3312.45"/>
  </r>
  <r>
    <x v="42"/>
    <x v="5"/>
    <x v="1"/>
    <x v="1"/>
    <x v="0"/>
    <x v="0"/>
    <x v="15"/>
    <x v="3"/>
    <x v="4"/>
    <x v="0"/>
    <n v="140"/>
    <n v="474.99"/>
  </r>
  <r>
    <x v="43"/>
    <x v="6"/>
    <x v="2"/>
    <x v="0"/>
    <x v="0"/>
    <x v="0"/>
    <x v="17"/>
    <x v="3"/>
    <x v="6"/>
    <x v="1"/>
    <n v="140"/>
    <n v="665.84"/>
  </r>
  <r>
    <x v="44"/>
    <x v="6"/>
    <x v="0"/>
    <x v="0"/>
    <x v="1"/>
    <x v="1"/>
    <x v="6"/>
    <x v="0"/>
    <x v="0"/>
    <x v="0"/>
    <n v="885"/>
    <n v="774.86"/>
  </r>
  <r>
    <x v="45"/>
    <x v="6"/>
    <x v="5"/>
    <x v="1"/>
    <x v="1"/>
    <x v="1"/>
    <x v="0"/>
    <x v="0"/>
    <x v="0"/>
    <x v="0"/>
    <n v="640"/>
    <n v="1310.98"/>
  </r>
  <r>
    <x v="46"/>
    <x v="1"/>
    <x v="0"/>
    <x v="0"/>
    <x v="1"/>
    <x v="1"/>
    <x v="6"/>
    <x v="0"/>
    <x v="1"/>
    <x v="1"/>
    <n v="265"/>
    <n v="492.34"/>
  </r>
  <r>
    <x v="47"/>
    <x v="4"/>
    <x v="4"/>
    <x v="1"/>
    <x v="1"/>
    <x v="1"/>
    <x v="11"/>
    <x v="0"/>
    <x v="2"/>
    <x v="1"/>
    <n v="865"/>
    <n v="3458.58"/>
  </r>
  <r>
    <x v="48"/>
    <x v="3"/>
    <x v="1"/>
    <x v="1"/>
    <x v="1"/>
    <x v="1"/>
    <x v="2"/>
    <x v="0"/>
    <x v="4"/>
    <x v="0"/>
    <n v="975"/>
    <n v="4726.1400000000003"/>
  </r>
  <r>
    <x v="49"/>
    <x v="1"/>
    <x v="4"/>
    <x v="1"/>
    <x v="1"/>
    <x v="1"/>
    <x v="7"/>
    <x v="0"/>
    <x v="4"/>
    <x v="0"/>
    <n v="285"/>
    <n v="2074.8200000000002"/>
  </r>
  <r>
    <x v="50"/>
    <x v="5"/>
    <x v="1"/>
    <x v="1"/>
    <x v="1"/>
    <x v="1"/>
    <x v="9"/>
    <x v="1"/>
    <x v="0"/>
    <x v="0"/>
    <n v="245"/>
    <n v="103.46"/>
  </r>
  <r>
    <x v="51"/>
    <x v="3"/>
    <x v="4"/>
    <x v="1"/>
    <x v="1"/>
    <x v="1"/>
    <x v="14"/>
    <x v="1"/>
    <x v="0"/>
    <x v="0"/>
    <n v="925"/>
    <n v="1077.5"/>
  </r>
  <r>
    <x v="52"/>
    <x v="4"/>
    <x v="5"/>
    <x v="1"/>
    <x v="1"/>
    <x v="1"/>
    <x v="11"/>
    <x v="1"/>
    <x v="0"/>
    <x v="0"/>
    <n v="950"/>
    <n v="4553.46"/>
  </r>
  <r>
    <x v="53"/>
    <x v="3"/>
    <x v="0"/>
    <x v="0"/>
    <x v="1"/>
    <x v="1"/>
    <x v="14"/>
    <x v="1"/>
    <x v="3"/>
    <x v="1"/>
    <n v="825"/>
    <n v="1015.98"/>
  </r>
  <r>
    <x v="54"/>
    <x v="2"/>
    <x v="1"/>
    <x v="1"/>
    <x v="1"/>
    <x v="1"/>
    <x v="6"/>
    <x v="1"/>
    <x v="4"/>
    <x v="0"/>
    <n v="305"/>
    <n v="401.74"/>
  </r>
  <r>
    <x v="55"/>
    <x v="0"/>
    <x v="0"/>
    <x v="0"/>
    <x v="1"/>
    <x v="1"/>
    <x v="18"/>
    <x v="2"/>
    <x v="0"/>
    <x v="0"/>
    <n v="580"/>
    <n v="535.36"/>
  </r>
  <r>
    <x v="56"/>
    <x v="3"/>
    <x v="1"/>
    <x v="1"/>
    <x v="1"/>
    <x v="1"/>
    <x v="17"/>
    <x v="2"/>
    <x v="0"/>
    <x v="0"/>
    <n v="505"/>
    <n v="2313.0100000000002"/>
  </r>
  <r>
    <x v="57"/>
    <x v="3"/>
    <x v="1"/>
    <x v="1"/>
    <x v="1"/>
    <x v="1"/>
    <x v="13"/>
    <x v="2"/>
    <x v="0"/>
    <x v="0"/>
    <n v="440"/>
    <n v="1293.47"/>
  </r>
  <r>
    <x v="58"/>
    <x v="2"/>
    <x v="5"/>
    <x v="1"/>
    <x v="1"/>
    <x v="1"/>
    <x v="17"/>
    <x v="2"/>
    <x v="0"/>
    <x v="0"/>
    <n v="285"/>
    <n v="198.82"/>
  </r>
  <r>
    <x v="59"/>
    <x v="3"/>
    <x v="1"/>
    <x v="1"/>
    <x v="1"/>
    <x v="1"/>
    <x v="18"/>
    <x v="2"/>
    <x v="5"/>
    <x v="1"/>
    <n v="140"/>
    <n v="718.39"/>
  </r>
  <r>
    <x v="60"/>
    <x v="4"/>
    <x v="4"/>
    <x v="1"/>
    <x v="1"/>
    <x v="1"/>
    <x v="10"/>
    <x v="2"/>
    <x v="5"/>
    <x v="1"/>
    <n v="685"/>
    <n v="2343.4899999999998"/>
  </r>
  <r>
    <x v="61"/>
    <x v="6"/>
    <x v="1"/>
    <x v="1"/>
    <x v="1"/>
    <x v="1"/>
    <x v="9"/>
    <x v="2"/>
    <x v="2"/>
    <x v="1"/>
    <n v="95"/>
    <n v="246"/>
  </r>
  <r>
    <x v="62"/>
    <x v="5"/>
    <x v="5"/>
    <x v="1"/>
    <x v="1"/>
    <x v="1"/>
    <x v="3"/>
    <x v="2"/>
    <x v="3"/>
    <x v="1"/>
    <n v="60"/>
    <n v="134.16"/>
  </r>
  <r>
    <x v="63"/>
    <x v="4"/>
    <x v="0"/>
    <x v="0"/>
    <x v="1"/>
    <x v="1"/>
    <x v="10"/>
    <x v="2"/>
    <x v="4"/>
    <x v="0"/>
    <n v="630"/>
    <n v="1335.69"/>
  </r>
  <r>
    <x v="64"/>
    <x v="3"/>
    <x v="1"/>
    <x v="1"/>
    <x v="1"/>
    <x v="1"/>
    <x v="1"/>
    <x v="2"/>
    <x v="4"/>
    <x v="0"/>
    <n v="950"/>
    <n v="2064.66"/>
  </r>
  <r>
    <x v="65"/>
    <x v="0"/>
    <x v="1"/>
    <x v="1"/>
    <x v="1"/>
    <x v="1"/>
    <x v="1"/>
    <x v="3"/>
    <x v="0"/>
    <x v="0"/>
    <n v="500"/>
    <n v="502.64"/>
  </r>
  <r>
    <x v="66"/>
    <x v="1"/>
    <x v="4"/>
    <x v="1"/>
    <x v="1"/>
    <x v="1"/>
    <x v="3"/>
    <x v="3"/>
    <x v="0"/>
    <x v="0"/>
    <n v="935"/>
    <n v="888.58"/>
  </r>
  <r>
    <x v="67"/>
    <x v="5"/>
    <x v="4"/>
    <x v="1"/>
    <x v="1"/>
    <x v="1"/>
    <x v="8"/>
    <x v="3"/>
    <x v="0"/>
    <x v="0"/>
    <n v="985"/>
    <n v="1107.24"/>
  </r>
  <r>
    <x v="68"/>
    <x v="6"/>
    <x v="1"/>
    <x v="1"/>
    <x v="1"/>
    <x v="1"/>
    <x v="17"/>
    <x v="3"/>
    <x v="5"/>
    <x v="1"/>
    <n v="315"/>
    <n v="691.57"/>
  </r>
  <r>
    <x v="69"/>
    <x v="3"/>
    <x v="4"/>
    <x v="1"/>
    <x v="1"/>
    <x v="1"/>
    <x v="15"/>
    <x v="3"/>
    <x v="5"/>
    <x v="1"/>
    <n v="5"/>
    <n v="25.64"/>
  </r>
  <r>
    <x v="70"/>
    <x v="1"/>
    <x v="4"/>
    <x v="1"/>
    <x v="1"/>
    <x v="1"/>
    <x v="12"/>
    <x v="3"/>
    <x v="1"/>
    <x v="1"/>
    <n v="495"/>
    <n v="998.71"/>
  </r>
  <r>
    <x v="71"/>
    <x v="4"/>
    <x v="4"/>
    <x v="1"/>
    <x v="1"/>
    <x v="1"/>
    <x v="17"/>
    <x v="3"/>
    <x v="4"/>
    <x v="0"/>
    <n v="455"/>
    <n v="1196.79"/>
  </r>
  <r>
    <x v="72"/>
    <x v="5"/>
    <x v="4"/>
    <x v="1"/>
    <x v="1"/>
    <x v="1"/>
    <x v="10"/>
    <x v="3"/>
    <x v="4"/>
    <x v="0"/>
    <n v="505"/>
    <n v="1577.5"/>
  </r>
  <r>
    <x v="73"/>
    <x v="4"/>
    <x v="5"/>
    <x v="1"/>
    <x v="1"/>
    <x v="1"/>
    <x v="13"/>
    <x v="3"/>
    <x v="4"/>
    <x v="0"/>
    <n v="450"/>
    <n v="1447.42"/>
  </r>
  <r>
    <x v="74"/>
    <x v="6"/>
    <x v="0"/>
    <x v="0"/>
    <x v="2"/>
    <x v="1"/>
    <x v="13"/>
    <x v="0"/>
    <x v="0"/>
    <x v="0"/>
    <n v="630"/>
    <n v="1880.99"/>
  </r>
  <r>
    <x v="75"/>
    <x v="4"/>
    <x v="1"/>
    <x v="1"/>
    <x v="2"/>
    <x v="1"/>
    <x v="6"/>
    <x v="0"/>
    <x v="0"/>
    <x v="0"/>
    <n v="675"/>
    <n v="601.85"/>
  </r>
  <r>
    <x v="76"/>
    <x v="0"/>
    <x v="1"/>
    <x v="1"/>
    <x v="2"/>
    <x v="1"/>
    <x v="13"/>
    <x v="0"/>
    <x v="0"/>
    <x v="0"/>
    <n v="395"/>
    <n v="357.3"/>
  </r>
  <r>
    <x v="77"/>
    <x v="4"/>
    <x v="2"/>
    <x v="0"/>
    <x v="2"/>
    <x v="1"/>
    <x v="19"/>
    <x v="0"/>
    <x v="5"/>
    <x v="1"/>
    <n v="710"/>
    <n v="3121.89"/>
  </r>
  <r>
    <x v="78"/>
    <x v="5"/>
    <x v="0"/>
    <x v="0"/>
    <x v="2"/>
    <x v="1"/>
    <x v="4"/>
    <x v="0"/>
    <x v="5"/>
    <x v="1"/>
    <n v="445"/>
    <n v="2005.11"/>
  </r>
  <r>
    <x v="79"/>
    <x v="6"/>
    <x v="3"/>
    <x v="0"/>
    <x v="2"/>
    <x v="1"/>
    <x v="15"/>
    <x v="0"/>
    <x v="1"/>
    <x v="1"/>
    <n v="20"/>
    <n v="35.840000000000003"/>
  </r>
  <r>
    <x v="80"/>
    <x v="1"/>
    <x v="6"/>
    <x v="2"/>
    <x v="2"/>
    <x v="1"/>
    <x v="13"/>
    <x v="0"/>
    <x v="2"/>
    <x v="1"/>
    <n v="755"/>
    <n v="2801.51"/>
  </r>
  <r>
    <x v="81"/>
    <x v="0"/>
    <x v="0"/>
    <x v="0"/>
    <x v="2"/>
    <x v="1"/>
    <x v="8"/>
    <x v="0"/>
    <x v="2"/>
    <x v="1"/>
    <n v="895"/>
    <n v="3554.01"/>
  </r>
  <r>
    <x v="82"/>
    <x v="3"/>
    <x v="2"/>
    <x v="0"/>
    <x v="2"/>
    <x v="1"/>
    <x v="10"/>
    <x v="0"/>
    <x v="3"/>
    <x v="1"/>
    <n v="100"/>
    <n v="296.98"/>
  </r>
  <r>
    <x v="83"/>
    <x v="4"/>
    <x v="0"/>
    <x v="0"/>
    <x v="2"/>
    <x v="1"/>
    <x v="16"/>
    <x v="0"/>
    <x v="3"/>
    <x v="1"/>
    <n v="440"/>
    <n v="1362.85"/>
  </r>
  <r>
    <x v="84"/>
    <x v="5"/>
    <x v="1"/>
    <x v="1"/>
    <x v="2"/>
    <x v="1"/>
    <x v="13"/>
    <x v="0"/>
    <x v="4"/>
    <x v="0"/>
    <n v="265"/>
    <n v="713.51"/>
  </r>
  <r>
    <x v="85"/>
    <x v="3"/>
    <x v="0"/>
    <x v="0"/>
    <x v="2"/>
    <x v="1"/>
    <x v="7"/>
    <x v="0"/>
    <x v="6"/>
    <x v="1"/>
    <n v="760"/>
    <n v="4758.62"/>
  </r>
  <r>
    <x v="86"/>
    <x v="2"/>
    <x v="0"/>
    <x v="0"/>
    <x v="2"/>
    <x v="1"/>
    <x v="7"/>
    <x v="0"/>
    <x v="6"/>
    <x v="1"/>
    <n v="145"/>
    <n v="1045.1099999999999"/>
  </r>
  <r>
    <x v="87"/>
    <x v="6"/>
    <x v="0"/>
    <x v="0"/>
    <x v="2"/>
    <x v="1"/>
    <x v="13"/>
    <x v="1"/>
    <x v="0"/>
    <x v="0"/>
    <n v="715"/>
    <n v="278.92"/>
  </r>
  <r>
    <x v="88"/>
    <x v="1"/>
    <x v="0"/>
    <x v="0"/>
    <x v="2"/>
    <x v="1"/>
    <x v="10"/>
    <x v="1"/>
    <x v="0"/>
    <x v="0"/>
    <n v="985"/>
    <n v="399.81"/>
  </r>
  <r>
    <x v="89"/>
    <x v="4"/>
    <x v="1"/>
    <x v="1"/>
    <x v="2"/>
    <x v="1"/>
    <x v="12"/>
    <x v="1"/>
    <x v="0"/>
    <x v="0"/>
    <n v="610"/>
    <n v="251.07"/>
  </r>
  <r>
    <x v="90"/>
    <x v="6"/>
    <x v="1"/>
    <x v="1"/>
    <x v="2"/>
    <x v="1"/>
    <x v="11"/>
    <x v="1"/>
    <x v="0"/>
    <x v="0"/>
    <n v="300"/>
    <n v="134.11000000000001"/>
  </r>
  <r>
    <x v="91"/>
    <x v="2"/>
    <x v="3"/>
    <x v="0"/>
    <x v="2"/>
    <x v="1"/>
    <x v="11"/>
    <x v="1"/>
    <x v="5"/>
    <x v="1"/>
    <n v="195"/>
    <n v="672.76"/>
  </r>
  <r>
    <x v="92"/>
    <x v="3"/>
    <x v="0"/>
    <x v="0"/>
    <x v="2"/>
    <x v="1"/>
    <x v="13"/>
    <x v="1"/>
    <x v="5"/>
    <x v="1"/>
    <n v="785"/>
    <n v="1725.17"/>
  </r>
  <r>
    <x v="93"/>
    <x v="0"/>
    <x v="0"/>
    <x v="0"/>
    <x v="2"/>
    <x v="1"/>
    <x v="7"/>
    <x v="1"/>
    <x v="5"/>
    <x v="1"/>
    <n v="775"/>
    <n v="4421.5600000000004"/>
  </r>
  <r>
    <x v="94"/>
    <x v="2"/>
    <x v="2"/>
    <x v="0"/>
    <x v="2"/>
    <x v="1"/>
    <x v="10"/>
    <x v="1"/>
    <x v="1"/>
    <x v="1"/>
    <n v="925"/>
    <n v="799.96"/>
  </r>
  <r>
    <x v="95"/>
    <x v="3"/>
    <x v="2"/>
    <x v="0"/>
    <x v="2"/>
    <x v="1"/>
    <x v="2"/>
    <x v="1"/>
    <x v="1"/>
    <x v="1"/>
    <n v="810"/>
    <n v="641.83000000000004"/>
  </r>
  <r>
    <x v="96"/>
    <x v="6"/>
    <x v="1"/>
    <x v="1"/>
    <x v="2"/>
    <x v="1"/>
    <x v="9"/>
    <x v="1"/>
    <x v="2"/>
    <x v="1"/>
    <n v="120"/>
    <n v="193.01"/>
  </r>
  <r>
    <x v="97"/>
    <x v="2"/>
    <x v="2"/>
    <x v="0"/>
    <x v="2"/>
    <x v="1"/>
    <x v="11"/>
    <x v="1"/>
    <x v="4"/>
    <x v="0"/>
    <n v="970"/>
    <n v="1144.8800000000001"/>
  </r>
  <r>
    <x v="98"/>
    <x v="4"/>
    <x v="2"/>
    <x v="0"/>
    <x v="2"/>
    <x v="1"/>
    <x v="4"/>
    <x v="1"/>
    <x v="4"/>
    <x v="0"/>
    <n v="640"/>
    <n v="829.06"/>
  </r>
  <r>
    <x v="99"/>
    <x v="5"/>
    <x v="2"/>
    <x v="0"/>
    <x v="2"/>
    <x v="1"/>
    <x v="2"/>
    <x v="1"/>
    <x v="4"/>
    <x v="0"/>
    <n v="460"/>
    <n v="577.76"/>
  </r>
  <r>
    <x v="100"/>
    <x v="0"/>
    <x v="5"/>
    <x v="1"/>
    <x v="2"/>
    <x v="1"/>
    <x v="5"/>
    <x v="1"/>
    <x v="4"/>
    <x v="0"/>
    <n v="205"/>
    <n v="269.55"/>
  </r>
  <r>
    <x v="101"/>
    <x v="0"/>
    <x v="5"/>
    <x v="1"/>
    <x v="2"/>
    <x v="1"/>
    <x v="0"/>
    <x v="1"/>
    <x v="4"/>
    <x v="0"/>
    <n v="805"/>
    <n v="1025.08"/>
  </r>
  <r>
    <x v="102"/>
    <x v="0"/>
    <x v="3"/>
    <x v="0"/>
    <x v="2"/>
    <x v="1"/>
    <x v="14"/>
    <x v="1"/>
    <x v="6"/>
    <x v="1"/>
    <n v="135"/>
    <n v="375.86"/>
  </r>
  <r>
    <x v="103"/>
    <x v="2"/>
    <x v="2"/>
    <x v="0"/>
    <x v="2"/>
    <x v="1"/>
    <x v="5"/>
    <x v="1"/>
    <x v="6"/>
    <x v="1"/>
    <n v="45"/>
    <n v="129.35"/>
  </r>
  <r>
    <x v="104"/>
    <x v="0"/>
    <x v="0"/>
    <x v="0"/>
    <x v="2"/>
    <x v="1"/>
    <x v="8"/>
    <x v="1"/>
    <x v="6"/>
    <x v="1"/>
    <n v="905"/>
    <n v="2643.57"/>
  </r>
  <r>
    <x v="105"/>
    <x v="4"/>
    <x v="0"/>
    <x v="0"/>
    <x v="2"/>
    <x v="1"/>
    <x v="14"/>
    <x v="1"/>
    <x v="6"/>
    <x v="1"/>
    <n v="315"/>
    <n v="2541.7800000000002"/>
  </r>
  <r>
    <x v="106"/>
    <x v="2"/>
    <x v="0"/>
    <x v="0"/>
    <x v="2"/>
    <x v="1"/>
    <x v="19"/>
    <x v="1"/>
    <x v="6"/>
    <x v="1"/>
    <n v="155"/>
    <n v="439.51"/>
  </r>
  <r>
    <x v="107"/>
    <x v="1"/>
    <x v="0"/>
    <x v="0"/>
    <x v="2"/>
    <x v="1"/>
    <x v="4"/>
    <x v="1"/>
    <x v="6"/>
    <x v="1"/>
    <n v="965"/>
    <n v="2926.98"/>
  </r>
  <r>
    <x v="108"/>
    <x v="2"/>
    <x v="3"/>
    <x v="0"/>
    <x v="2"/>
    <x v="1"/>
    <x v="17"/>
    <x v="2"/>
    <x v="0"/>
    <x v="0"/>
    <n v="690"/>
    <n v="270.58999999999997"/>
  </r>
  <r>
    <x v="109"/>
    <x v="5"/>
    <x v="2"/>
    <x v="0"/>
    <x v="2"/>
    <x v="1"/>
    <x v="15"/>
    <x v="2"/>
    <x v="0"/>
    <x v="0"/>
    <n v="180"/>
    <n v="117.2"/>
  </r>
  <r>
    <x v="110"/>
    <x v="1"/>
    <x v="0"/>
    <x v="0"/>
    <x v="2"/>
    <x v="1"/>
    <x v="16"/>
    <x v="2"/>
    <x v="0"/>
    <x v="0"/>
    <n v="325"/>
    <n v="289.42"/>
  </r>
  <r>
    <x v="111"/>
    <x v="2"/>
    <x v="0"/>
    <x v="0"/>
    <x v="2"/>
    <x v="1"/>
    <x v="16"/>
    <x v="2"/>
    <x v="0"/>
    <x v="0"/>
    <n v="615"/>
    <n v="630.91999999999996"/>
  </r>
  <r>
    <x v="112"/>
    <x v="6"/>
    <x v="0"/>
    <x v="0"/>
    <x v="2"/>
    <x v="1"/>
    <x v="2"/>
    <x v="2"/>
    <x v="0"/>
    <x v="0"/>
    <n v="510"/>
    <n v="344.06"/>
  </r>
  <r>
    <x v="113"/>
    <x v="6"/>
    <x v="0"/>
    <x v="0"/>
    <x v="2"/>
    <x v="1"/>
    <x v="10"/>
    <x v="2"/>
    <x v="0"/>
    <x v="0"/>
    <n v="830"/>
    <n v="604.64"/>
  </r>
  <r>
    <x v="114"/>
    <x v="3"/>
    <x v="1"/>
    <x v="1"/>
    <x v="2"/>
    <x v="1"/>
    <x v="7"/>
    <x v="2"/>
    <x v="5"/>
    <x v="1"/>
    <n v="495"/>
    <n v="1768.32"/>
  </r>
  <r>
    <x v="115"/>
    <x v="5"/>
    <x v="4"/>
    <x v="1"/>
    <x v="2"/>
    <x v="1"/>
    <x v="18"/>
    <x v="2"/>
    <x v="5"/>
    <x v="1"/>
    <n v="880"/>
    <n v="3241.56"/>
  </r>
  <r>
    <x v="116"/>
    <x v="3"/>
    <x v="0"/>
    <x v="0"/>
    <x v="2"/>
    <x v="1"/>
    <x v="16"/>
    <x v="2"/>
    <x v="4"/>
    <x v="0"/>
    <n v="685"/>
    <n v="1443.07"/>
  </r>
  <r>
    <x v="117"/>
    <x v="2"/>
    <x v="0"/>
    <x v="0"/>
    <x v="2"/>
    <x v="1"/>
    <x v="13"/>
    <x v="2"/>
    <x v="4"/>
    <x v="0"/>
    <n v="375"/>
    <n v="1090.97"/>
  </r>
  <r>
    <x v="118"/>
    <x v="1"/>
    <x v="1"/>
    <x v="1"/>
    <x v="2"/>
    <x v="1"/>
    <x v="8"/>
    <x v="2"/>
    <x v="4"/>
    <x v="0"/>
    <n v="825"/>
    <n v="3018.4"/>
  </r>
  <r>
    <x v="119"/>
    <x v="2"/>
    <x v="2"/>
    <x v="0"/>
    <x v="2"/>
    <x v="1"/>
    <x v="18"/>
    <x v="2"/>
    <x v="6"/>
    <x v="1"/>
    <n v="505"/>
    <n v="2460.75"/>
  </r>
  <r>
    <x v="120"/>
    <x v="1"/>
    <x v="4"/>
    <x v="1"/>
    <x v="2"/>
    <x v="1"/>
    <x v="5"/>
    <x v="3"/>
    <x v="0"/>
    <x v="0"/>
    <n v="310"/>
    <n v="1006.79"/>
  </r>
  <r>
    <x v="121"/>
    <x v="2"/>
    <x v="0"/>
    <x v="0"/>
    <x v="2"/>
    <x v="1"/>
    <x v="3"/>
    <x v="3"/>
    <x v="5"/>
    <x v="1"/>
    <n v="675"/>
    <n v="3922.58"/>
  </r>
  <r>
    <x v="122"/>
    <x v="1"/>
    <x v="0"/>
    <x v="0"/>
    <x v="2"/>
    <x v="1"/>
    <x v="17"/>
    <x v="3"/>
    <x v="5"/>
    <x v="1"/>
    <n v="845"/>
    <n v="1821.19"/>
  </r>
  <r>
    <x v="123"/>
    <x v="2"/>
    <x v="1"/>
    <x v="1"/>
    <x v="2"/>
    <x v="1"/>
    <x v="3"/>
    <x v="3"/>
    <x v="5"/>
    <x v="1"/>
    <n v="565"/>
    <n v="2833.99"/>
  </r>
  <r>
    <x v="124"/>
    <x v="3"/>
    <x v="2"/>
    <x v="0"/>
    <x v="2"/>
    <x v="1"/>
    <x v="17"/>
    <x v="3"/>
    <x v="1"/>
    <x v="1"/>
    <n v="915"/>
    <n v="1724.92"/>
  </r>
  <r>
    <x v="125"/>
    <x v="2"/>
    <x v="0"/>
    <x v="0"/>
    <x v="2"/>
    <x v="1"/>
    <x v="16"/>
    <x v="3"/>
    <x v="2"/>
    <x v="1"/>
    <n v="480"/>
    <n v="1222.76"/>
  </r>
  <r>
    <x v="126"/>
    <x v="1"/>
    <x v="0"/>
    <x v="0"/>
    <x v="2"/>
    <x v="1"/>
    <x v="16"/>
    <x v="3"/>
    <x v="2"/>
    <x v="1"/>
    <n v="295"/>
    <n v="1157.57"/>
  </r>
  <r>
    <x v="127"/>
    <x v="2"/>
    <x v="3"/>
    <x v="0"/>
    <x v="2"/>
    <x v="1"/>
    <x v="7"/>
    <x v="3"/>
    <x v="3"/>
    <x v="1"/>
    <n v="625"/>
    <n v="1952.51"/>
  </r>
  <r>
    <x v="128"/>
    <x v="5"/>
    <x v="0"/>
    <x v="0"/>
    <x v="2"/>
    <x v="1"/>
    <x v="9"/>
    <x v="3"/>
    <x v="6"/>
    <x v="1"/>
    <n v="395"/>
    <n v="3047.01"/>
  </r>
  <r>
    <x v="129"/>
    <x v="5"/>
    <x v="1"/>
    <x v="1"/>
    <x v="3"/>
    <x v="2"/>
    <x v="8"/>
    <x v="0"/>
    <x v="0"/>
    <x v="0"/>
    <n v="220"/>
    <n v="1355.42"/>
  </r>
  <r>
    <x v="130"/>
    <x v="1"/>
    <x v="1"/>
    <x v="1"/>
    <x v="3"/>
    <x v="2"/>
    <x v="15"/>
    <x v="0"/>
    <x v="0"/>
    <x v="0"/>
    <n v="220"/>
    <n v="230.43"/>
  </r>
  <r>
    <x v="131"/>
    <x v="3"/>
    <x v="1"/>
    <x v="1"/>
    <x v="3"/>
    <x v="2"/>
    <x v="0"/>
    <x v="0"/>
    <x v="0"/>
    <x v="0"/>
    <n v="400"/>
    <n v="272.69"/>
  </r>
  <r>
    <x v="132"/>
    <x v="1"/>
    <x v="3"/>
    <x v="0"/>
    <x v="3"/>
    <x v="2"/>
    <x v="13"/>
    <x v="0"/>
    <x v="5"/>
    <x v="1"/>
    <n v="490"/>
    <n v="2532.79"/>
  </r>
  <r>
    <x v="133"/>
    <x v="6"/>
    <x v="1"/>
    <x v="1"/>
    <x v="3"/>
    <x v="2"/>
    <x v="0"/>
    <x v="0"/>
    <x v="1"/>
    <x v="1"/>
    <n v="980"/>
    <n v="2116.87"/>
  </r>
  <r>
    <x v="134"/>
    <x v="0"/>
    <x v="2"/>
    <x v="0"/>
    <x v="3"/>
    <x v="2"/>
    <x v="8"/>
    <x v="0"/>
    <x v="3"/>
    <x v="1"/>
    <n v="410"/>
    <n v="1281.69"/>
  </r>
  <r>
    <x v="135"/>
    <x v="2"/>
    <x v="0"/>
    <x v="0"/>
    <x v="3"/>
    <x v="2"/>
    <x v="7"/>
    <x v="0"/>
    <x v="3"/>
    <x v="1"/>
    <n v="30"/>
    <n v="82.55"/>
  </r>
  <r>
    <x v="136"/>
    <x v="6"/>
    <x v="5"/>
    <x v="1"/>
    <x v="3"/>
    <x v="2"/>
    <x v="10"/>
    <x v="0"/>
    <x v="4"/>
    <x v="0"/>
    <n v="370"/>
    <n v="2415.9299999999998"/>
  </r>
  <r>
    <x v="137"/>
    <x v="6"/>
    <x v="0"/>
    <x v="0"/>
    <x v="3"/>
    <x v="2"/>
    <x v="12"/>
    <x v="0"/>
    <x v="6"/>
    <x v="1"/>
    <n v="485"/>
    <n v="3271.49"/>
  </r>
  <r>
    <x v="138"/>
    <x v="0"/>
    <x v="6"/>
    <x v="2"/>
    <x v="3"/>
    <x v="2"/>
    <x v="11"/>
    <x v="1"/>
    <x v="0"/>
    <x v="0"/>
    <n v="250"/>
    <n v="224.9"/>
  </r>
  <r>
    <x v="139"/>
    <x v="6"/>
    <x v="0"/>
    <x v="0"/>
    <x v="3"/>
    <x v="2"/>
    <x v="7"/>
    <x v="1"/>
    <x v="0"/>
    <x v="0"/>
    <n v="410"/>
    <n v="402.73"/>
  </r>
  <r>
    <x v="140"/>
    <x v="2"/>
    <x v="5"/>
    <x v="1"/>
    <x v="3"/>
    <x v="2"/>
    <x v="15"/>
    <x v="1"/>
    <x v="0"/>
    <x v="0"/>
    <n v="150"/>
    <n v="66.41"/>
  </r>
  <r>
    <x v="141"/>
    <x v="4"/>
    <x v="2"/>
    <x v="0"/>
    <x v="3"/>
    <x v="2"/>
    <x v="12"/>
    <x v="1"/>
    <x v="5"/>
    <x v="1"/>
    <n v="320"/>
    <n v="684.31"/>
  </r>
  <r>
    <x v="142"/>
    <x v="5"/>
    <x v="2"/>
    <x v="0"/>
    <x v="3"/>
    <x v="2"/>
    <x v="2"/>
    <x v="1"/>
    <x v="5"/>
    <x v="1"/>
    <n v="960"/>
    <n v="2058.7800000000002"/>
  </r>
  <r>
    <x v="143"/>
    <x v="0"/>
    <x v="2"/>
    <x v="0"/>
    <x v="3"/>
    <x v="2"/>
    <x v="4"/>
    <x v="1"/>
    <x v="1"/>
    <x v="1"/>
    <n v="390"/>
    <n v="349.98"/>
  </r>
  <r>
    <x v="144"/>
    <x v="1"/>
    <x v="0"/>
    <x v="0"/>
    <x v="3"/>
    <x v="2"/>
    <x v="11"/>
    <x v="1"/>
    <x v="1"/>
    <x v="1"/>
    <n v="365"/>
    <n v="794.97"/>
  </r>
  <r>
    <x v="145"/>
    <x v="4"/>
    <x v="5"/>
    <x v="1"/>
    <x v="3"/>
    <x v="2"/>
    <x v="12"/>
    <x v="1"/>
    <x v="2"/>
    <x v="1"/>
    <n v="710"/>
    <n v="1124.5"/>
  </r>
  <r>
    <x v="146"/>
    <x v="0"/>
    <x v="3"/>
    <x v="0"/>
    <x v="3"/>
    <x v="2"/>
    <x v="14"/>
    <x v="1"/>
    <x v="3"/>
    <x v="1"/>
    <n v="195"/>
    <n v="381.22"/>
  </r>
  <r>
    <x v="147"/>
    <x v="4"/>
    <x v="2"/>
    <x v="0"/>
    <x v="3"/>
    <x v="2"/>
    <x v="19"/>
    <x v="1"/>
    <x v="4"/>
    <x v="0"/>
    <n v="830"/>
    <n v="949.91"/>
  </r>
  <r>
    <x v="148"/>
    <x v="5"/>
    <x v="0"/>
    <x v="0"/>
    <x v="3"/>
    <x v="2"/>
    <x v="4"/>
    <x v="1"/>
    <x v="4"/>
    <x v="0"/>
    <n v="655"/>
    <n v="799.73"/>
  </r>
  <r>
    <x v="149"/>
    <x v="0"/>
    <x v="0"/>
    <x v="0"/>
    <x v="3"/>
    <x v="2"/>
    <x v="4"/>
    <x v="1"/>
    <x v="6"/>
    <x v="1"/>
    <n v="460"/>
    <n v="1250.32"/>
  </r>
  <r>
    <x v="150"/>
    <x v="0"/>
    <x v="2"/>
    <x v="0"/>
    <x v="3"/>
    <x v="2"/>
    <x v="16"/>
    <x v="2"/>
    <x v="0"/>
    <x v="0"/>
    <n v="905"/>
    <n v="594.37"/>
  </r>
  <r>
    <x v="151"/>
    <x v="0"/>
    <x v="2"/>
    <x v="0"/>
    <x v="3"/>
    <x v="2"/>
    <x v="6"/>
    <x v="2"/>
    <x v="0"/>
    <x v="0"/>
    <n v="50"/>
    <n v="36.869999999999997"/>
  </r>
  <r>
    <x v="152"/>
    <x v="3"/>
    <x v="0"/>
    <x v="0"/>
    <x v="3"/>
    <x v="2"/>
    <x v="15"/>
    <x v="2"/>
    <x v="0"/>
    <x v="0"/>
    <n v="195"/>
    <n v="422.67"/>
  </r>
  <r>
    <x v="153"/>
    <x v="2"/>
    <x v="1"/>
    <x v="1"/>
    <x v="3"/>
    <x v="2"/>
    <x v="19"/>
    <x v="2"/>
    <x v="0"/>
    <x v="0"/>
    <n v="295"/>
    <n v="215.16"/>
  </r>
  <r>
    <x v="154"/>
    <x v="5"/>
    <x v="2"/>
    <x v="0"/>
    <x v="3"/>
    <x v="2"/>
    <x v="5"/>
    <x v="2"/>
    <x v="5"/>
    <x v="1"/>
    <n v="530"/>
    <n v="1945.81"/>
  </r>
  <r>
    <x v="155"/>
    <x v="0"/>
    <x v="2"/>
    <x v="0"/>
    <x v="3"/>
    <x v="2"/>
    <x v="18"/>
    <x v="2"/>
    <x v="5"/>
    <x v="1"/>
    <n v="375"/>
    <n v="1774.32"/>
  </r>
  <r>
    <x v="156"/>
    <x v="6"/>
    <x v="2"/>
    <x v="0"/>
    <x v="3"/>
    <x v="2"/>
    <x v="8"/>
    <x v="2"/>
    <x v="1"/>
    <x v="1"/>
    <n v="920"/>
    <n v="1346.2"/>
  </r>
  <r>
    <x v="157"/>
    <x v="6"/>
    <x v="0"/>
    <x v="0"/>
    <x v="3"/>
    <x v="2"/>
    <x v="8"/>
    <x v="2"/>
    <x v="2"/>
    <x v="1"/>
    <n v="520"/>
    <n v="1330.83"/>
  </r>
  <r>
    <x v="158"/>
    <x v="0"/>
    <x v="0"/>
    <x v="0"/>
    <x v="3"/>
    <x v="2"/>
    <x v="18"/>
    <x v="2"/>
    <x v="2"/>
    <x v="1"/>
    <n v="520"/>
    <n v="2418.7199999999998"/>
  </r>
  <r>
    <x v="159"/>
    <x v="6"/>
    <x v="1"/>
    <x v="1"/>
    <x v="3"/>
    <x v="2"/>
    <x v="5"/>
    <x v="2"/>
    <x v="2"/>
    <x v="1"/>
    <n v="955"/>
    <n v="2580.19"/>
  </r>
  <r>
    <x v="160"/>
    <x v="3"/>
    <x v="2"/>
    <x v="0"/>
    <x v="3"/>
    <x v="2"/>
    <x v="5"/>
    <x v="2"/>
    <x v="3"/>
    <x v="1"/>
    <n v="675"/>
    <n v="1513.81"/>
  </r>
  <r>
    <x v="161"/>
    <x v="3"/>
    <x v="0"/>
    <x v="0"/>
    <x v="3"/>
    <x v="2"/>
    <x v="11"/>
    <x v="2"/>
    <x v="3"/>
    <x v="1"/>
    <n v="400"/>
    <n v="869.45"/>
  </r>
  <r>
    <x v="162"/>
    <x v="6"/>
    <x v="0"/>
    <x v="0"/>
    <x v="3"/>
    <x v="2"/>
    <x v="11"/>
    <x v="2"/>
    <x v="3"/>
    <x v="1"/>
    <n v="730"/>
    <n v="1488.03"/>
  </r>
  <r>
    <x v="163"/>
    <x v="6"/>
    <x v="0"/>
    <x v="0"/>
    <x v="3"/>
    <x v="2"/>
    <x v="13"/>
    <x v="2"/>
    <x v="3"/>
    <x v="1"/>
    <n v="960"/>
    <n v="2047.3"/>
  </r>
  <r>
    <x v="164"/>
    <x v="6"/>
    <x v="1"/>
    <x v="1"/>
    <x v="3"/>
    <x v="2"/>
    <x v="15"/>
    <x v="2"/>
    <x v="3"/>
    <x v="1"/>
    <n v="310"/>
    <n v="621.45000000000005"/>
  </r>
  <r>
    <x v="165"/>
    <x v="2"/>
    <x v="6"/>
    <x v="2"/>
    <x v="3"/>
    <x v="2"/>
    <x v="3"/>
    <x v="2"/>
    <x v="4"/>
    <x v="0"/>
    <n v="815"/>
    <n v="2564"/>
  </r>
  <r>
    <x v="166"/>
    <x v="3"/>
    <x v="0"/>
    <x v="0"/>
    <x v="3"/>
    <x v="2"/>
    <x v="4"/>
    <x v="2"/>
    <x v="4"/>
    <x v="0"/>
    <n v="185"/>
    <n v="379.72"/>
  </r>
  <r>
    <x v="167"/>
    <x v="3"/>
    <x v="0"/>
    <x v="0"/>
    <x v="3"/>
    <x v="2"/>
    <x v="10"/>
    <x v="2"/>
    <x v="4"/>
    <x v="0"/>
    <n v="360"/>
    <n v="696.22"/>
  </r>
  <r>
    <x v="168"/>
    <x v="2"/>
    <x v="1"/>
    <x v="1"/>
    <x v="3"/>
    <x v="2"/>
    <x v="2"/>
    <x v="2"/>
    <x v="4"/>
    <x v="0"/>
    <n v="300"/>
    <n v="639.36"/>
  </r>
  <r>
    <x v="169"/>
    <x v="1"/>
    <x v="5"/>
    <x v="1"/>
    <x v="3"/>
    <x v="2"/>
    <x v="18"/>
    <x v="2"/>
    <x v="4"/>
    <x v="0"/>
    <n v="485"/>
    <n v="925.56"/>
  </r>
  <r>
    <x v="170"/>
    <x v="2"/>
    <x v="0"/>
    <x v="0"/>
    <x v="3"/>
    <x v="2"/>
    <x v="3"/>
    <x v="2"/>
    <x v="6"/>
    <x v="1"/>
    <n v="510"/>
    <n v="1344.23"/>
  </r>
  <r>
    <x v="171"/>
    <x v="4"/>
    <x v="0"/>
    <x v="0"/>
    <x v="3"/>
    <x v="2"/>
    <x v="18"/>
    <x v="2"/>
    <x v="6"/>
    <x v="1"/>
    <n v="370"/>
    <n v="2651.55"/>
  </r>
  <r>
    <x v="172"/>
    <x v="3"/>
    <x v="1"/>
    <x v="1"/>
    <x v="3"/>
    <x v="2"/>
    <x v="2"/>
    <x v="3"/>
    <x v="0"/>
    <x v="0"/>
    <n v="725"/>
    <n v="2986.38"/>
  </r>
  <r>
    <x v="173"/>
    <x v="1"/>
    <x v="0"/>
    <x v="0"/>
    <x v="3"/>
    <x v="2"/>
    <x v="9"/>
    <x v="3"/>
    <x v="5"/>
    <x v="1"/>
    <n v="705"/>
    <n v="3992.66"/>
  </r>
  <r>
    <x v="174"/>
    <x v="6"/>
    <x v="0"/>
    <x v="0"/>
    <x v="3"/>
    <x v="2"/>
    <x v="4"/>
    <x v="3"/>
    <x v="1"/>
    <x v="1"/>
    <n v="410"/>
    <n v="836.73"/>
  </r>
  <r>
    <x v="175"/>
    <x v="6"/>
    <x v="0"/>
    <x v="0"/>
    <x v="3"/>
    <x v="2"/>
    <x v="10"/>
    <x v="3"/>
    <x v="1"/>
    <x v="1"/>
    <n v="695"/>
    <n v="1506.57"/>
  </r>
  <r>
    <x v="176"/>
    <x v="3"/>
    <x v="1"/>
    <x v="1"/>
    <x v="3"/>
    <x v="2"/>
    <x v="15"/>
    <x v="3"/>
    <x v="1"/>
    <x v="1"/>
    <n v="995"/>
    <n v="2089.6999999999998"/>
  </r>
  <r>
    <x v="177"/>
    <x v="5"/>
    <x v="4"/>
    <x v="1"/>
    <x v="3"/>
    <x v="2"/>
    <x v="12"/>
    <x v="3"/>
    <x v="1"/>
    <x v="1"/>
    <n v="770"/>
    <n v="1826.88"/>
  </r>
  <r>
    <x v="178"/>
    <x v="3"/>
    <x v="3"/>
    <x v="0"/>
    <x v="3"/>
    <x v="2"/>
    <x v="16"/>
    <x v="3"/>
    <x v="2"/>
    <x v="1"/>
    <n v="985"/>
    <n v="1519.36"/>
  </r>
  <r>
    <x v="179"/>
    <x v="0"/>
    <x v="2"/>
    <x v="0"/>
    <x v="3"/>
    <x v="2"/>
    <x v="9"/>
    <x v="3"/>
    <x v="2"/>
    <x v="1"/>
    <n v="155"/>
    <n v="738.05"/>
  </r>
  <r>
    <x v="180"/>
    <x v="1"/>
    <x v="0"/>
    <x v="0"/>
    <x v="3"/>
    <x v="2"/>
    <x v="1"/>
    <x v="3"/>
    <x v="2"/>
    <x v="1"/>
    <n v="460"/>
    <n v="2121.15"/>
  </r>
  <r>
    <x v="181"/>
    <x v="3"/>
    <x v="0"/>
    <x v="0"/>
    <x v="3"/>
    <x v="2"/>
    <x v="2"/>
    <x v="3"/>
    <x v="2"/>
    <x v="1"/>
    <n v="895"/>
    <n v="4022.8"/>
  </r>
  <r>
    <x v="182"/>
    <x v="0"/>
    <x v="0"/>
    <x v="0"/>
    <x v="3"/>
    <x v="2"/>
    <x v="16"/>
    <x v="3"/>
    <x v="2"/>
    <x v="1"/>
    <n v="285"/>
    <n v="1141.47"/>
  </r>
  <r>
    <x v="183"/>
    <x v="6"/>
    <x v="2"/>
    <x v="0"/>
    <x v="3"/>
    <x v="2"/>
    <x v="3"/>
    <x v="3"/>
    <x v="3"/>
    <x v="1"/>
    <n v="465"/>
    <n v="1561.96"/>
  </r>
  <r>
    <x v="184"/>
    <x v="2"/>
    <x v="2"/>
    <x v="0"/>
    <x v="3"/>
    <x v="2"/>
    <x v="2"/>
    <x v="3"/>
    <x v="4"/>
    <x v="0"/>
    <n v="850"/>
    <n v="2893.98"/>
  </r>
  <r>
    <x v="185"/>
    <x v="5"/>
    <x v="0"/>
    <x v="0"/>
    <x v="3"/>
    <x v="2"/>
    <x v="8"/>
    <x v="3"/>
    <x v="4"/>
    <x v="0"/>
    <n v="30"/>
    <n v="101.61"/>
  </r>
  <r>
    <x v="186"/>
    <x v="6"/>
    <x v="3"/>
    <x v="0"/>
    <x v="3"/>
    <x v="2"/>
    <x v="2"/>
    <x v="3"/>
    <x v="6"/>
    <x v="1"/>
    <n v="990"/>
    <n v="7031.77"/>
  </r>
  <r>
    <x v="187"/>
    <x v="3"/>
    <x v="0"/>
    <x v="0"/>
    <x v="3"/>
    <x v="2"/>
    <x v="9"/>
    <x v="3"/>
    <x v="6"/>
    <x v="1"/>
    <n v="25"/>
    <n v="201.22"/>
  </r>
  <r>
    <x v="188"/>
    <x v="0"/>
    <x v="2"/>
    <x v="0"/>
    <x v="4"/>
    <x v="0"/>
    <x v="0"/>
    <x v="0"/>
    <x v="0"/>
    <x v="0"/>
    <n v="260"/>
    <n v="168.83"/>
  </r>
  <r>
    <x v="189"/>
    <x v="3"/>
    <x v="0"/>
    <x v="0"/>
    <x v="4"/>
    <x v="0"/>
    <x v="12"/>
    <x v="0"/>
    <x v="0"/>
    <x v="0"/>
    <n v="60"/>
    <n v="59.69"/>
  </r>
  <r>
    <x v="190"/>
    <x v="0"/>
    <x v="1"/>
    <x v="1"/>
    <x v="4"/>
    <x v="0"/>
    <x v="8"/>
    <x v="0"/>
    <x v="0"/>
    <x v="0"/>
    <n v="205"/>
    <n v="1274.07"/>
  </r>
  <r>
    <x v="191"/>
    <x v="5"/>
    <x v="4"/>
    <x v="1"/>
    <x v="4"/>
    <x v="0"/>
    <x v="6"/>
    <x v="0"/>
    <x v="0"/>
    <x v="0"/>
    <n v="50"/>
    <n v="223.62"/>
  </r>
  <r>
    <x v="192"/>
    <x v="5"/>
    <x v="2"/>
    <x v="0"/>
    <x v="4"/>
    <x v="0"/>
    <x v="19"/>
    <x v="0"/>
    <x v="5"/>
    <x v="1"/>
    <n v="410"/>
    <n v="1848.1"/>
  </r>
  <r>
    <x v="193"/>
    <x v="2"/>
    <x v="3"/>
    <x v="0"/>
    <x v="4"/>
    <x v="0"/>
    <x v="1"/>
    <x v="0"/>
    <x v="2"/>
    <x v="1"/>
    <n v="865"/>
    <n v="3410.77"/>
  </r>
  <r>
    <x v="194"/>
    <x v="3"/>
    <x v="2"/>
    <x v="0"/>
    <x v="4"/>
    <x v="0"/>
    <x v="0"/>
    <x v="0"/>
    <x v="2"/>
    <x v="1"/>
    <n v="450"/>
    <n v="700.48"/>
  </r>
  <r>
    <x v="195"/>
    <x v="0"/>
    <x v="0"/>
    <x v="0"/>
    <x v="4"/>
    <x v="0"/>
    <x v="1"/>
    <x v="0"/>
    <x v="2"/>
    <x v="1"/>
    <n v="275"/>
    <n v="992.68"/>
  </r>
  <r>
    <x v="196"/>
    <x v="0"/>
    <x v="3"/>
    <x v="0"/>
    <x v="4"/>
    <x v="0"/>
    <x v="0"/>
    <x v="0"/>
    <x v="4"/>
    <x v="0"/>
    <n v="205"/>
    <n v="607.35"/>
  </r>
  <r>
    <x v="197"/>
    <x v="4"/>
    <x v="0"/>
    <x v="0"/>
    <x v="4"/>
    <x v="0"/>
    <x v="19"/>
    <x v="0"/>
    <x v="4"/>
    <x v="0"/>
    <n v="90"/>
    <n v="269.55"/>
  </r>
  <r>
    <x v="198"/>
    <x v="0"/>
    <x v="1"/>
    <x v="1"/>
    <x v="4"/>
    <x v="0"/>
    <x v="7"/>
    <x v="0"/>
    <x v="4"/>
    <x v="0"/>
    <n v="450"/>
    <n v="1645.9"/>
  </r>
  <r>
    <x v="199"/>
    <x v="6"/>
    <x v="1"/>
    <x v="1"/>
    <x v="4"/>
    <x v="0"/>
    <x v="0"/>
    <x v="0"/>
    <x v="4"/>
    <x v="0"/>
    <n v="465"/>
    <n v="1668.93"/>
  </r>
  <r>
    <x v="200"/>
    <x v="5"/>
    <x v="2"/>
    <x v="0"/>
    <x v="4"/>
    <x v="0"/>
    <x v="16"/>
    <x v="0"/>
    <x v="6"/>
    <x v="1"/>
    <n v="895"/>
    <n v="6037.4"/>
  </r>
  <r>
    <x v="201"/>
    <x v="3"/>
    <x v="2"/>
    <x v="0"/>
    <x v="4"/>
    <x v="0"/>
    <x v="11"/>
    <x v="1"/>
    <x v="0"/>
    <x v="0"/>
    <n v="200"/>
    <n v="86.87"/>
  </r>
  <r>
    <x v="202"/>
    <x v="2"/>
    <x v="0"/>
    <x v="0"/>
    <x v="4"/>
    <x v="0"/>
    <x v="9"/>
    <x v="1"/>
    <x v="0"/>
    <x v="0"/>
    <n v="465"/>
    <n v="178.37"/>
  </r>
  <r>
    <x v="203"/>
    <x v="0"/>
    <x v="0"/>
    <x v="0"/>
    <x v="4"/>
    <x v="0"/>
    <x v="19"/>
    <x v="1"/>
    <x v="0"/>
    <x v="0"/>
    <n v="185"/>
    <n v="242.85"/>
  </r>
  <r>
    <x v="204"/>
    <x v="4"/>
    <x v="4"/>
    <x v="1"/>
    <x v="4"/>
    <x v="0"/>
    <x v="11"/>
    <x v="1"/>
    <x v="0"/>
    <x v="0"/>
    <n v="220"/>
    <n v="451.35"/>
  </r>
  <r>
    <x v="205"/>
    <x v="1"/>
    <x v="0"/>
    <x v="0"/>
    <x v="4"/>
    <x v="0"/>
    <x v="7"/>
    <x v="1"/>
    <x v="5"/>
    <x v="1"/>
    <n v="15"/>
    <n v="29.37"/>
  </r>
  <r>
    <x v="206"/>
    <x v="1"/>
    <x v="0"/>
    <x v="0"/>
    <x v="4"/>
    <x v="0"/>
    <x v="16"/>
    <x v="1"/>
    <x v="3"/>
    <x v="1"/>
    <n v="830"/>
    <n v="1009.2"/>
  </r>
  <r>
    <x v="207"/>
    <x v="5"/>
    <x v="0"/>
    <x v="0"/>
    <x v="4"/>
    <x v="0"/>
    <x v="2"/>
    <x v="1"/>
    <x v="4"/>
    <x v="0"/>
    <n v="5"/>
    <n v="5.72"/>
  </r>
  <r>
    <x v="208"/>
    <x v="6"/>
    <x v="0"/>
    <x v="0"/>
    <x v="4"/>
    <x v="0"/>
    <x v="14"/>
    <x v="1"/>
    <x v="4"/>
    <x v="0"/>
    <n v="745"/>
    <n v="1589.09"/>
  </r>
  <r>
    <x v="209"/>
    <x v="6"/>
    <x v="2"/>
    <x v="0"/>
    <x v="4"/>
    <x v="0"/>
    <x v="14"/>
    <x v="1"/>
    <x v="6"/>
    <x v="1"/>
    <n v="910"/>
    <n v="2502.77"/>
  </r>
  <r>
    <x v="210"/>
    <x v="4"/>
    <x v="2"/>
    <x v="0"/>
    <x v="4"/>
    <x v="0"/>
    <x v="16"/>
    <x v="2"/>
    <x v="0"/>
    <x v="0"/>
    <n v="110"/>
    <n v="100.71"/>
  </r>
  <r>
    <x v="211"/>
    <x v="1"/>
    <x v="0"/>
    <x v="0"/>
    <x v="4"/>
    <x v="0"/>
    <x v="17"/>
    <x v="2"/>
    <x v="0"/>
    <x v="0"/>
    <n v="140"/>
    <n v="57.18"/>
  </r>
  <r>
    <x v="212"/>
    <x v="5"/>
    <x v="1"/>
    <x v="1"/>
    <x v="4"/>
    <x v="0"/>
    <x v="18"/>
    <x v="2"/>
    <x v="0"/>
    <x v="0"/>
    <n v="770"/>
    <n v="342.82"/>
  </r>
  <r>
    <x v="213"/>
    <x v="5"/>
    <x v="1"/>
    <x v="1"/>
    <x v="4"/>
    <x v="0"/>
    <x v="16"/>
    <x v="2"/>
    <x v="0"/>
    <x v="0"/>
    <n v="135"/>
    <n v="96.93"/>
  </r>
  <r>
    <x v="214"/>
    <x v="3"/>
    <x v="1"/>
    <x v="1"/>
    <x v="4"/>
    <x v="0"/>
    <x v="17"/>
    <x v="2"/>
    <x v="0"/>
    <x v="0"/>
    <n v="40"/>
    <n v="43.5"/>
  </r>
  <r>
    <x v="215"/>
    <x v="5"/>
    <x v="3"/>
    <x v="0"/>
    <x v="4"/>
    <x v="0"/>
    <x v="5"/>
    <x v="2"/>
    <x v="5"/>
    <x v="1"/>
    <n v="95"/>
    <n v="349.24"/>
  </r>
  <r>
    <x v="216"/>
    <x v="4"/>
    <x v="2"/>
    <x v="0"/>
    <x v="4"/>
    <x v="0"/>
    <x v="17"/>
    <x v="2"/>
    <x v="5"/>
    <x v="1"/>
    <n v="795"/>
    <n v="3912.08"/>
  </r>
  <r>
    <x v="217"/>
    <x v="5"/>
    <x v="2"/>
    <x v="0"/>
    <x v="4"/>
    <x v="0"/>
    <x v="18"/>
    <x v="2"/>
    <x v="1"/>
    <x v="1"/>
    <n v="510"/>
    <n v="743.06"/>
  </r>
  <r>
    <x v="218"/>
    <x v="6"/>
    <x v="2"/>
    <x v="0"/>
    <x v="4"/>
    <x v="0"/>
    <x v="18"/>
    <x v="2"/>
    <x v="1"/>
    <x v="1"/>
    <n v="950"/>
    <n v="1970.76"/>
  </r>
  <r>
    <x v="219"/>
    <x v="0"/>
    <x v="2"/>
    <x v="0"/>
    <x v="4"/>
    <x v="0"/>
    <x v="19"/>
    <x v="2"/>
    <x v="1"/>
    <x v="1"/>
    <n v="950"/>
    <n v="1205.7"/>
  </r>
  <r>
    <x v="220"/>
    <x v="3"/>
    <x v="0"/>
    <x v="0"/>
    <x v="4"/>
    <x v="0"/>
    <x v="18"/>
    <x v="2"/>
    <x v="1"/>
    <x v="1"/>
    <n v="440"/>
    <n v="581.11"/>
  </r>
  <r>
    <x v="221"/>
    <x v="4"/>
    <x v="2"/>
    <x v="0"/>
    <x v="4"/>
    <x v="0"/>
    <x v="18"/>
    <x v="2"/>
    <x v="2"/>
    <x v="1"/>
    <n v="720"/>
    <n v="2014.77"/>
  </r>
  <r>
    <x v="222"/>
    <x v="0"/>
    <x v="2"/>
    <x v="0"/>
    <x v="4"/>
    <x v="0"/>
    <x v="0"/>
    <x v="2"/>
    <x v="3"/>
    <x v="1"/>
    <n v="130"/>
    <n v="275.98"/>
  </r>
  <r>
    <x v="223"/>
    <x v="4"/>
    <x v="1"/>
    <x v="1"/>
    <x v="4"/>
    <x v="0"/>
    <x v="19"/>
    <x v="2"/>
    <x v="4"/>
    <x v="0"/>
    <n v="360"/>
    <n v="705.03"/>
  </r>
  <r>
    <x v="224"/>
    <x v="6"/>
    <x v="1"/>
    <x v="1"/>
    <x v="4"/>
    <x v="0"/>
    <x v="16"/>
    <x v="3"/>
    <x v="0"/>
    <x v="0"/>
    <n v="845"/>
    <n v="6116.21"/>
  </r>
  <r>
    <x v="225"/>
    <x v="5"/>
    <x v="2"/>
    <x v="0"/>
    <x v="4"/>
    <x v="0"/>
    <x v="4"/>
    <x v="3"/>
    <x v="5"/>
    <x v="1"/>
    <n v="420"/>
    <n v="2203.9899999999998"/>
  </r>
  <r>
    <x v="226"/>
    <x v="6"/>
    <x v="0"/>
    <x v="0"/>
    <x v="4"/>
    <x v="0"/>
    <x v="17"/>
    <x v="3"/>
    <x v="5"/>
    <x v="1"/>
    <n v="730"/>
    <n v="1491.18"/>
  </r>
  <r>
    <x v="227"/>
    <x v="2"/>
    <x v="0"/>
    <x v="0"/>
    <x v="4"/>
    <x v="0"/>
    <x v="17"/>
    <x v="3"/>
    <x v="1"/>
    <x v="1"/>
    <n v="500"/>
    <n v="398.6"/>
  </r>
  <r>
    <x v="228"/>
    <x v="4"/>
    <x v="3"/>
    <x v="0"/>
    <x v="4"/>
    <x v="0"/>
    <x v="6"/>
    <x v="3"/>
    <x v="2"/>
    <x v="1"/>
    <n v="530"/>
    <n v="2410.92"/>
  </r>
  <r>
    <x v="229"/>
    <x v="6"/>
    <x v="0"/>
    <x v="0"/>
    <x v="4"/>
    <x v="0"/>
    <x v="5"/>
    <x v="3"/>
    <x v="2"/>
    <x v="1"/>
    <n v="165"/>
    <n v="785.1"/>
  </r>
  <r>
    <x v="230"/>
    <x v="4"/>
    <x v="2"/>
    <x v="0"/>
    <x v="4"/>
    <x v="0"/>
    <x v="7"/>
    <x v="3"/>
    <x v="3"/>
    <x v="1"/>
    <n v="610"/>
    <n v="1959.33"/>
  </r>
  <r>
    <x v="231"/>
    <x v="0"/>
    <x v="0"/>
    <x v="0"/>
    <x v="4"/>
    <x v="0"/>
    <x v="2"/>
    <x v="3"/>
    <x v="4"/>
    <x v="0"/>
    <n v="745"/>
    <n v="2650.27"/>
  </r>
  <r>
    <x v="232"/>
    <x v="4"/>
    <x v="0"/>
    <x v="0"/>
    <x v="4"/>
    <x v="0"/>
    <x v="13"/>
    <x v="3"/>
    <x v="4"/>
    <x v="0"/>
    <n v="895"/>
    <n v="3156.34"/>
  </r>
  <r>
    <x v="233"/>
    <x v="5"/>
    <x v="3"/>
    <x v="0"/>
    <x v="5"/>
    <x v="3"/>
    <x v="0"/>
    <x v="0"/>
    <x v="0"/>
    <x v="0"/>
    <n v="410"/>
    <n v="365.11"/>
  </r>
  <r>
    <x v="234"/>
    <x v="6"/>
    <x v="0"/>
    <x v="0"/>
    <x v="5"/>
    <x v="3"/>
    <x v="1"/>
    <x v="0"/>
    <x v="0"/>
    <x v="0"/>
    <n v="115"/>
    <n v="114.09"/>
  </r>
  <r>
    <x v="235"/>
    <x v="3"/>
    <x v="0"/>
    <x v="0"/>
    <x v="5"/>
    <x v="3"/>
    <x v="15"/>
    <x v="0"/>
    <x v="5"/>
    <x v="1"/>
    <n v="730"/>
    <n v="3251.75"/>
  </r>
  <r>
    <x v="236"/>
    <x v="0"/>
    <x v="0"/>
    <x v="0"/>
    <x v="5"/>
    <x v="3"/>
    <x v="12"/>
    <x v="0"/>
    <x v="5"/>
    <x v="1"/>
    <n v="655"/>
    <n v="3063.16"/>
  </r>
  <r>
    <x v="237"/>
    <x v="6"/>
    <x v="0"/>
    <x v="0"/>
    <x v="5"/>
    <x v="3"/>
    <x v="2"/>
    <x v="0"/>
    <x v="1"/>
    <x v="1"/>
    <n v="855"/>
    <n v="1751.85"/>
  </r>
  <r>
    <x v="238"/>
    <x v="1"/>
    <x v="4"/>
    <x v="1"/>
    <x v="5"/>
    <x v="3"/>
    <x v="15"/>
    <x v="0"/>
    <x v="1"/>
    <x v="1"/>
    <n v="850"/>
    <n v="1718.3"/>
  </r>
  <r>
    <x v="239"/>
    <x v="6"/>
    <x v="0"/>
    <x v="0"/>
    <x v="5"/>
    <x v="3"/>
    <x v="3"/>
    <x v="0"/>
    <x v="3"/>
    <x v="1"/>
    <n v="465"/>
    <n v="1361.65"/>
  </r>
  <r>
    <x v="240"/>
    <x v="0"/>
    <x v="0"/>
    <x v="0"/>
    <x v="5"/>
    <x v="3"/>
    <x v="8"/>
    <x v="0"/>
    <x v="6"/>
    <x v="1"/>
    <n v="345"/>
    <n v="2279.08"/>
  </r>
  <r>
    <x v="241"/>
    <x v="1"/>
    <x v="1"/>
    <x v="1"/>
    <x v="5"/>
    <x v="3"/>
    <x v="7"/>
    <x v="1"/>
    <x v="0"/>
    <x v="0"/>
    <n v="380"/>
    <n v="397.93"/>
  </r>
  <r>
    <x v="242"/>
    <x v="1"/>
    <x v="1"/>
    <x v="1"/>
    <x v="5"/>
    <x v="3"/>
    <x v="2"/>
    <x v="1"/>
    <x v="0"/>
    <x v="0"/>
    <n v="35"/>
    <n v="14.24"/>
  </r>
  <r>
    <x v="243"/>
    <x v="1"/>
    <x v="4"/>
    <x v="1"/>
    <x v="5"/>
    <x v="3"/>
    <x v="4"/>
    <x v="1"/>
    <x v="0"/>
    <x v="0"/>
    <n v="165"/>
    <n v="361.75"/>
  </r>
  <r>
    <x v="244"/>
    <x v="0"/>
    <x v="2"/>
    <x v="0"/>
    <x v="5"/>
    <x v="3"/>
    <x v="12"/>
    <x v="1"/>
    <x v="5"/>
    <x v="1"/>
    <n v="890"/>
    <n v="1992.82"/>
  </r>
  <r>
    <x v="245"/>
    <x v="1"/>
    <x v="0"/>
    <x v="0"/>
    <x v="5"/>
    <x v="3"/>
    <x v="19"/>
    <x v="1"/>
    <x v="5"/>
    <x v="1"/>
    <n v="875"/>
    <n v="1938.65"/>
  </r>
  <r>
    <x v="246"/>
    <x v="2"/>
    <x v="0"/>
    <x v="0"/>
    <x v="5"/>
    <x v="3"/>
    <x v="11"/>
    <x v="1"/>
    <x v="1"/>
    <x v="1"/>
    <n v="245"/>
    <n v="559.94000000000005"/>
  </r>
  <r>
    <x v="247"/>
    <x v="3"/>
    <x v="2"/>
    <x v="0"/>
    <x v="5"/>
    <x v="3"/>
    <x v="14"/>
    <x v="1"/>
    <x v="6"/>
    <x v="1"/>
    <n v="700"/>
    <n v="5034.1899999999996"/>
  </r>
  <r>
    <x v="248"/>
    <x v="3"/>
    <x v="2"/>
    <x v="0"/>
    <x v="5"/>
    <x v="3"/>
    <x v="13"/>
    <x v="2"/>
    <x v="0"/>
    <x v="0"/>
    <n v="185"/>
    <n v="124.87"/>
  </r>
  <r>
    <x v="249"/>
    <x v="1"/>
    <x v="0"/>
    <x v="0"/>
    <x v="5"/>
    <x v="3"/>
    <x v="16"/>
    <x v="2"/>
    <x v="0"/>
    <x v="0"/>
    <n v="465"/>
    <n v="201.41"/>
  </r>
  <r>
    <x v="250"/>
    <x v="6"/>
    <x v="3"/>
    <x v="0"/>
    <x v="5"/>
    <x v="3"/>
    <x v="19"/>
    <x v="2"/>
    <x v="5"/>
    <x v="1"/>
    <n v="765"/>
    <n v="2466.41"/>
  </r>
  <r>
    <x v="251"/>
    <x v="2"/>
    <x v="2"/>
    <x v="0"/>
    <x v="5"/>
    <x v="3"/>
    <x v="1"/>
    <x v="2"/>
    <x v="5"/>
    <x v="1"/>
    <n v="635"/>
    <n v="2002.72"/>
  </r>
  <r>
    <x v="252"/>
    <x v="5"/>
    <x v="0"/>
    <x v="0"/>
    <x v="5"/>
    <x v="3"/>
    <x v="9"/>
    <x v="2"/>
    <x v="5"/>
    <x v="1"/>
    <n v="145"/>
    <n v="488.91"/>
  </r>
  <r>
    <x v="253"/>
    <x v="3"/>
    <x v="2"/>
    <x v="0"/>
    <x v="5"/>
    <x v="3"/>
    <x v="12"/>
    <x v="2"/>
    <x v="2"/>
    <x v="1"/>
    <n v="440"/>
    <n v="1118.19"/>
  </r>
  <r>
    <x v="254"/>
    <x v="3"/>
    <x v="2"/>
    <x v="0"/>
    <x v="5"/>
    <x v="3"/>
    <x v="16"/>
    <x v="2"/>
    <x v="3"/>
    <x v="1"/>
    <n v="245"/>
    <n v="500.87"/>
  </r>
  <r>
    <x v="255"/>
    <x v="5"/>
    <x v="2"/>
    <x v="0"/>
    <x v="5"/>
    <x v="3"/>
    <x v="4"/>
    <x v="2"/>
    <x v="4"/>
    <x v="0"/>
    <n v="290"/>
    <n v="573.73"/>
  </r>
  <r>
    <x v="256"/>
    <x v="6"/>
    <x v="0"/>
    <x v="0"/>
    <x v="5"/>
    <x v="3"/>
    <x v="2"/>
    <x v="2"/>
    <x v="4"/>
    <x v="0"/>
    <n v="800"/>
    <n v="1594.81"/>
  </r>
  <r>
    <x v="257"/>
    <x v="0"/>
    <x v="0"/>
    <x v="0"/>
    <x v="5"/>
    <x v="3"/>
    <x v="18"/>
    <x v="2"/>
    <x v="4"/>
    <x v="0"/>
    <n v="905"/>
    <n v="2673.33"/>
  </r>
  <r>
    <x v="258"/>
    <x v="5"/>
    <x v="0"/>
    <x v="0"/>
    <x v="5"/>
    <x v="3"/>
    <x v="4"/>
    <x v="2"/>
    <x v="6"/>
    <x v="1"/>
    <n v="340"/>
    <n v="1609.33"/>
  </r>
  <r>
    <x v="259"/>
    <x v="0"/>
    <x v="3"/>
    <x v="0"/>
    <x v="5"/>
    <x v="3"/>
    <x v="7"/>
    <x v="3"/>
    <x v="0"/>
    <x v="0"/>
    <n v="320"/>
    <n v="342.55"/>
  </r>
  <r>
    <x v="260"/>
    <x v="6"/>
    <x v="2"/>
    <x v="0"/>
    <x v="5"/>
    <x v="3"/>
    <x v="3"/>
    <x v="3"/>
    <x v="0"/>
    <x v="0"/>
    <n v="45"/>
    <n v="51.01"/>
  </r>
  <r>
    <x v="261"/>
    <x v="3"/>
    <x v="0"/>
    <x v="0"/>
    <x v="5"/>
    <x v="3"/>
    <x v="13"/>
    <x v="3"/>
    <x v="0"/>
    <x v="0"/>
    <n v="855"/>
    <n v="970.07"/>
  </r>
  <r>
    <x v="262"/>
    <x v="3"/>
    <x v="1"/>
    <x v="1"/>
    <x v="5"/>
    <x v="3"/>
    <x v="9"/>
    <x v="3"/>
    <x v="0"/>
    <x v="0"/>
    <n v="550"/>
    <n v="3934.16"/>
  </r>
  <r>
    <x v="263"/>
    <x v="5"/>
    <x v="0"/>
    <x v="0"/>
    <x v="5"/>
    <x v="3"/>
    <x v="17"/>
    <x v="3"/>
    <x v="5"/>
    <x v="1"/>
    <n v="240"/>
    <n v="1420.1"/>
  </r>
  <r>
    <x v="264"/>
    <x v="6"/>
    <x v="0"/>
    <x v="0"/>
    <x v="5"/>
    <x v="3"/>
    <x v="8"/>
    <x v="3"/>
    <x v="5"/>
    <x v="1"/>
    <n v="330"/>
    <n v="1785.88"/>
  </r>
  <r>
    <x v="265"/>
    <x v="4"/>
    <x v="3"/>
    <x v="0"/>
    <x v="5"/>
    <x v="3"/>
    <x v="1"/>
    <x v="3"/>
    <x v="1"/>
    <x v="1"/>
    <n v="110"/>
    <n v="259.08"/>
  </r>
  <r>
    <x v="266"/>
    <x v="2"/>
    <x v="2"/>
    <x v="0"/>
    <x v="5"/>
    <x v="3"/>
    <x v="17"/>
    <x v="3"/>
    <x v="1"/>
    <x v="1"/>
    <n v="895"/>
    <n v="1599.63"/>
  </r>
  <r>
    <x v="267"/>
    <x v="5"/>
    <x v="0"/>
    <x v="0"/>
    <x v="5"/>
    <x v="3"/>
    <x v="3"/>
    <x v="3"/>
    <x v="1"/>
    <x v="1"/>
    <n v="415"/>
    <n v="866.84"/>
  </r>
  <r>
    <x v="268"/>
    <x v="3"/>
    <x v="0"/>
    <x v="0"/>
    <x v="5"/>
    <x v="3"/>
    <x v="3"/>
    <x v="3"/>
    <x v="1"/>
    <x v="1"/>
    <n v="115"/>
    <n v="243.94"/>
  </r>
  <r>
    <x v="269"/>
    <x v="6"/>
    <x v="2"/>
    <x v="0"/>
    <x v="5"/>
    <x v="3"/>
    <x v="19"/>
    <x v="3"/>
    <x v="2"/>
    <x v="1"/>
    <n v="875"/>
    <n v="3652.67"/>
  </r>
  <r>
    <x v="270"/>
    <x v="2"/>
    <x v="0"/>
    <x v="0"/>
    <x v="5"/>
    <x v="3"/>
    <x v="3"/>
    <x v="3"/>
    <x v="2"/>
    <x v="1"/>
    <n v="310"/>
    <n v="779.41"/>
  </r>
  <r>
    <x v="271"/>
    <x v="0"/>
    <x v="3"/>
    <x v="0"/>
    <x v="5"/>
    <x v="3"/>
    <x v="10"/>
    <x v="3"/>
    <x v="4"/>
    <x v="0"/>
    <n v="925"/>
    <n v="2802.16"/>
  </r>
  <r>
    <x v="272"/>
    <x v="2"/>
    <x v="1"/>
    <x v="1"/>
    <x v="5"/>
    <x v="3"/>
    <x v="17"/>
    <x v="3"/>
    <x v="4"/>
    <x v="0"/>
    <n v="265"/>
    <n v="936.05"/>
  </r>
  <r>
    <x v="273"/>
    <x v="2"/>
    <x v="1"/>
    <x v="1"/>
    <x v="5"/>
    <x v="3"/>
    <x v="17"/>
    <x v="3"/>
    <x v="4"/>
    <x v="0"/>
    <n v="125"/>
    <n v="420.82"/>
  </r>
  <r>
    <x v="274"/>
    <x v="3"/>
    <x v="4"/>
    <x v="1"/>
    <x v="5"/>
    <x v="3"/>
    <x v="1"/>
    <x v="3"/>
    <x v="4"/>
    <x v="0"/>
    <n v="120"/>
    <n v="878.73"/>
  </r>
  <r>
    <x v="275"/>
    <x v="0"/>
    <x v="1"/>
    <x v="1"/>
    <x v="6"/>
    <x v="1"/>
    <x v="15"/>
    <x v="0"/>
    <x v="0"/>
    <x v="0"/>
    <n v="550"/>
    <n v="3480.86"/>
  </r>
  <r>
    <x v="276"/>
    <x v="5"/>
    <x v="1"/>
    <x v="1"/>
    <x v="6"/>
    <x v="1"/>
    <x v="0"/>
    <x v="0"/>
    <x v="0"/>
    <x v="0"/>
    <n v="500"/>
    <n v="2522.6799999999998"/>
  </r>
  <r>
    <x v="277"/>
    <x v="1"/>
    <x v="3"/>
    <x v="0"/>
    <x v="6"/>
    <x v="1"/>
    <x v="15"/>
    <x v="0"/>
    <x v="5"/>
    <x v="1"/>
    <n v="5"/>
    <n v="21.89"/>
  </r>
  <r>
    <x v="278"/>
    <x v="2"/>
    <x v="2"/>
    <x v="0"/>
    <x v="6"/>
    <x v="1"/>
    <x v="10"/>
    <x v="0"/>
    <x v="5"/>
    <x v="1"/>
    <n v="355"/>
    <n v="1778.81"/>
  </r>
  <r>
    <x v="279"/>
    <x v="3"/>
    <x v="1"/>
    <x v="1"/>
    <x v="6"/>
    <x v="1"/>
    <x v="4"/>
    <x v="0"/>
    <x v="5"/>
    <x v="1"/>
    <n v="410"/>
    <n v="1957.35"/>
  </r>
  <r>
    <x v="280"/>
    <x v="2"/>
    <x v="1"/>
    <x v="1"/>
    <x v="6"/>
    <x v="1"/>
    <x v="6"/>
    <x v="0"/>
    <x v="5"/>
    <x v="1"/>
    <n v="325"/>
    <n v="1704.66"/>
  </r>
  <r>
    <x v="281"/>
    <x v="4"/>
    <x v="2"/>
    <x v="0"/>
    <x v="6"/>
    <x v="1"/>
    <x v="4"/>
    <x v="0"/>
    <x v="1"/>
    <x v="1"/>
    <n v="315"/>
    <n v="572.64"/>
  </r>
  <r>
    <x v="282"/>
    <x v="1"/>
    <x v="0"/>
    <x v="0"/>
    <x v="6"/>
    <x v="1"/>
    <x v="2"/>
    <x v="0"/>
    <x v="1"/>
    <x v="1"/>
    <n v="715"/>
    <n v="1331.21"/>
  </r>
  <r>
    <x v="283"/>
    <x v="5"/>
    <x v="4"/>
    <x v="1"/>
    <x v="6"/>
    <x v="1"/>
    <x v="9"/>
    <x v="0"/>
    <x v="1"/>
    <x v="1"/>
    <n v="205"/>
    <n v="392.46"/>
  </r>
  <r>
    <x v="284"/>
    <x v="6"/>
    <x v="5"/>
    <x v="1"/>
    <x v="6"/>
    <x v="1"/>
    <x v="10"/>
    <x v="0"/>
    <x v="1"/>
    <x v="1"/>
    <n v="940"/>
    <n v="1826.34"/>
  </r>
  <r>
    <x v="285"/>
    <x v="3"/>
    <x v="2"/>
    <x v="0"/>
    <x v="6"/>
    <x v="1"/>
    <x v="13"/>
    <x v="0"/>
    <x v="2"/>
    <x v="1"/>
    <n v="90"/>
    <n v="368.07"/>
  </r>
  <r>
    <x v="286"/>
    <x v="2"/>
    <x v="0"/>
    <x v="0"/>
    <x v="6"/>
    <x v="1"/>
    <x v="9"/>
    <x v="0"/>
    <x v="2"/>
    <x v="1"/>
    <n v="995"/>
    <n v="3829.18"/>
  </r>
  <r>
    <x v="287"/>
    <x v="3"/>
    <x v="3"/>
    <x v="0"/>
    <x v="6"/>
    <x v="1"/>
    <x v="1"/>
    <x v="0"/>
    <x v="3"/>
    <x v="1"/>
    <n v="345"/>
    <n v="1018.55"/>
  </r>
  <r>
    <x v="288"/>
    <x v="2"/>
    <x v="2"/>
    <x v="0"/>
    <x v="6"/>
    <x v="1"/>
    <x v="2"/>
    <x v="0"/>
    <x v="3"/>
    <x v="1"/>
    <n v="400"/>
    <n v="1240.73"/>
  </r>
  <r>
    <x v="289"/>
    <x v="2"/>
    <x v="0"/>
    <x v="0"/>
    <x v="6"/>
    <x v="1"/>
    <x v="16"/>
    <x v="0"/>
    <x v="3"/>
    <x v="1"/>
    <n v="150"/>
    <n v="451.46"/>
  </r>
  <r>
    <x v="290"/>
    <x v="2"/>
    <x v="0"/>
    <x v="0"/>
    <x v="6"/>
    <x v="1"/>
    <x v="0"/>
    <x v="0"/>
    <x v="4"/>
    <x v="0"/>
    <n v="965"/>
    <n v="3071.28"/>
  </r>
  <r>
    <x v="291"/>
    <x v="3"/>
    <x v="1"/>
    <x v="1"/>
    <x v="6"/>
    <x v="1"/>
    <x v="0"/>
    <x v="0"/>
    <x v="4"/>
    <x v="0"/>
    <n v="320"/>
    <n v="1024.32"/>
  </r>
  <r>
    <x v="292"/>
    <x v="6"/>
    <x v="0"/>
    <x v="0"/>
    <x v="6"/>
    <x v="1"/>
    <x v="4"/>
    <x v="0"/>
    <x v="6"/>
    <x v="1"/>
    <n v="690"/>
    <n v="4793.51"/>
  </r>
  <r>
    <x v="293"/>
    <x v="6"/>
    <x v="1"/>
    <x v="1"/>
    <x v="6"/>
    <x v="1"/>
    <x v="11"/>
    <x v="1"/>
    <x v="0"/>
    <x v="0"/>
    <n v="770"/>
    <n v="775.45"/>
  </r>
  <r>
    <x v="294"/>
    <x v="6"/>
    <x v="1"/>
    <x v="1"/>
    <x v="6"/>
    <x v="1"/>
    <x v="14"/>
    <x v="1"/>
    <x v="0"/>
    <x v="0"/>
    <n v="580"/>
    <n v="233.85"/>
  </r>
  <r>
    <x v="295"/>
    <x v="1"/>
    <x v="3"/>
    <x v="0"/>
    <x v="6"/>
    <x v="1"/>
    <x v="1"/>
    <x v="1"/>
    <x v="5"/>
    <x v="1"/>
    <n v="780"/>
    <n v="1639.93"/>
  </r>
  <r>
    <x v="296"/>
    <x v="3"/>
    <x v="2"/>
    <x v="0"/>
    <x v="6"/>
    <x v="1"/>
    <x v="8"/>
    <x v="1"/>
    <x v="5"/>
    <x v="1"/>
    <n v="720"/>
    <n v="1507.07"/>
  </r>
  <r>
    <x v="297"/>
    <x v="4"/>
    <x v="3"/>
    <x v="0"/>
    <x v="6"/>
    <x v="1"/>
    <x v="6"/>
    <x v="1"/>
    <x v="1"/>
    <x v="1"/>
    <n v="20"/>
    <n v="16.34"/>
  </r>
  <r>
    <x v="298"/>
    <x v="2"/>
    <x v="5"/>
    <x v="1"/>
    <x v="6"/>
    <x v="1"/>
    <x v="12"/>
    <x v="1"/>
    <x v="1"/>
    <x v="1"/>
    <n v="750"/>
    <n v="664.38"/>
  </r>
  <r>
    <x v="299"/>
    <x v="5"/>
    <x v="1"/>
    <x v="1"/>
    <x v="6"/>
    <x v="1"/>
    <x v="13"/>
    <x v="1"/>
    <x v="3"/>
    <x v="1"/>
    <n v="205"/>
    <n v="242.69"/>
  </r>
  <r>
    <x v="300"/>
    <x v="2"/>
    <x v="2"/>
    <x v="0"/>
    <x v="6"/>
    <x v="1"/>
    <x v="1"/>
    <x v="1"/>
    <x v="4"/>
    <x v="0"/>
    <n v="360"/>
    <n v="474.89"/>
  </r>
  <r>
    <x v="301"/>
    <x v="1"/>
    <x v="2"/>
    <x v="0"/>
    <x v="6"/>
    <x v="1"/>
    <x v="11"/>
    <x v="1"/>
    <x v="4"/>
    <x v="0"/>
    <n v="740"/>
    <n v="2141.89"/>
  </r>
  <r>
    <x v="302"/>
    <x v="6"/>
    <x v="0"/>
    <x v="0"/>
    <x v="6"/>
    <x v="1"/>
    <x v="14"/>
    <x v="1"/>
    <x v="4"/>
    <x v="0"/>
    <n v="470"/>
    <n v="1562.53"/>
  </r>
  <r>
    <x v="303"/>
    <x v="2"/>
    <x v="0"/>
    <x v="0"/>
    <x v="6"/>
    <x v="1"/>
    <x v="9"/>
    <x v="1"/>
    <x v="6"/>
    <x v="1"/>
    <n v="295"/>
    <n v="872.24"/>
  </r>
  <r>
    <x v="304"/>
    <x v="2"/>
    <x v="3"/>
    <x v="0"/>
    <x v="6"/>
    <x v="1"/>
    <x v="18"/>
    <x v="2"/>
    <x v="0"/>
    <x v="0"/>
    <n v="445"/>
    <n v="460.8"/>
  </r>
  <r>
    <x v="305"/>
    <x v="6"/>
    <x v="2"/>
    <x v="0"/>
    <x v="6"/>
    <x v="1"/>
    <x v="18"/>
    <x v="2"/>
    <x v="0"/>
    <x v="0"/>
    <n v="950"/>
    <n v="1064.7"/>
  </r>
  <r>
    <x v="306"/>
    <x v="6"/>
    <x v="0"/>
    <x v="0"/>
    <x v="6"/>
    <x v="1"/>
    <x v="10"/>
    <x v="2"/>
    <x v="0"/>
    <x v="0"/>
    <n v="990"/>
    <n v="1864.72"/>
  </r>
  <r>
    <x v="307"/>
    <x v="0"/>
    <x v="1"/>
    <x v="1"/>
    <x v="6"/>
    <x v="1"/>
    <x v="18"/>
    <x v="2"/>
    <x v="0"/>
    <x v="0"/>
    <n v="55"/>
    <n v="56.57"/>
  </r>
  <r>
    <x v="308"/>
    <x v="2"/>
    <x v="1"/>
    <x v="1"/>
    <x v="6"/>
    <x v="1"/>
    <x v="18"/>
    <x v="2"/>
    <x v="0"/>
    <x v="0"/>
    <n v="665"/>
    <n v="644.05999999999995"/>
  </r>
  <r>
    <x v="309"/>
    <x v="5"/>
    <x v="1"/>
    <x v="1"/>
    <x v="6"/>
    <x v="1"/>
    <x v="17"/>
    <x v="2"/>
    <x v="0"/>
    <x v="0"/>
    <n v="40"/>
    <n v="40.28"/>
  </r>
  <r>
    <x v="310"/>
    <x v="5"/>
    <x v="4"/>
    <x v="1"/>
    <x v="6"/>
    <x v="1"/>
    <x v="5"/>
    <x v="2"/>
    <x v="0"/>
    <x v="0"/>
    <n v="690"/>
    <n v="2574.77"/>
  </r>
  <r>
    <x v="311"/>
    <x v="0"/>
    <x v="1"/>
    <x v="1"/>
    <x v="6"/>
    <x v="1"/>
    <x v="18"/>
    <x v="2"/>
    <x v="5"/>
    <x v="1"/>
    <n v="955"/>
    <n v="5181.1000000000004"/>
  </r>
  <r>
    <x v="312"/>
    <x v="5"/>
    <x v="1"/>
    <x v="1"/>
    <x v="6"/>
    <x v="1"/>
    <x v="18"/>
    <x v="2"/>
    <x v="1"/>
    <x v="1"/>
    <n v="505"/>
    <n v="734.11"/>
  </r>
  <r>
    <x v="313"/>
    <x v="4"/>
    <x v="2"/>
    <x v="0"/>
    <x v="6"/>
    <x v="1"/>
    <x v="18"/>
    <x v="2"/>
    <x v="2"/>
    <x v="1"/>
    <n v="625"/>
    <n v="2198.1"/>
  </r>
  <r>
    <x v="314"/>
    <x v="4"/>
    <x v="2"/>
    <x v="0"/>
    <x v="6"/>
    <x v="1"/>
    <x v="18"/>
    <x v="2"/>
    <x v="3"/>
    <x v="1"/>
    <n v="425"/>
    <n v="1376.41"/>
  </r>
  <r>
    <x v="315"/>
    <x v="6"/>
    <x v="5"/>
    <x v="1"/>
    <x v="6"/>
    <x v="1"/>
    <x v="9"/>
    <x v="2"/>
    <x v="3"/>
    <x v="1"/>
    <n v="975"/>
    <n v="1834.25"/>
  </r>
  <r>
    <x v="316"/>
    <x v="1"/>
    <x v="2"/>
    <x v="0"/>
    <x v="6"/>
    <x v="1"/>
    <x v="18"/>
    <x v="2"/>
    <x v="4"/>
    <x v="0"/>
    <n v="835"/>
    <n v="2524.39"/>
  </r>
  <r>
    <x v="317"/>
    <x v="1"/>
    <x v="0"/>
    <x v="0"/>
    <x v="6"/>
    <x v="1"/>
    <x v="7"/>
    <x v="2"/>
    <x v="4"/>
    <x v="0"/>
    <n v="90"/>
    <n v="256.77999999999997"/>
  </r>
  <r>
    <x v="318"/>
    <x v="3"/>
    <x v="1"/>
    <x v="1"/>
    <x v="6"/>
    <x v="1"/>
    <x v="13"/>
    <x v="2"/>
    <x v="4"/>
    <x v="0"/>
    <n v="120"/>
    <n v="424.27"/>
  </r>
  <r>
    <x v="319"/>
    <x v="5"/>
    <x v="1"/>
    <x v="1"/>
    <x v="6"/>
    <x v="1"/>
    <x v="13"/>
    <x v="2"/>
    <x v="4"/>
    <x v="0"/>
    <n v="295"/>
    <n v="1453.51"/>
  </r>
  <r>
    <x v="320"/>
    <x v="6"/>
    <x v="1"/>
    <x v="1"/>
    <x v="6"/>
    <x v="1"/>
    <x v="3"/>
    <x v="2"/>
    <x v="4"/>
    <x v="0"/>
    <n v="50"/>
    <n v="57.54"/>
  </r>
  <r>
    <x v="321"/>
    <x v="5"/>
    <x v="4"/>
    <x v="1"/>
    <x v="6"/>
    <x v="1"/>
    <x v="16"/>
    <x v="2"/>
    <x v="4"/>
    <x v="0"/>
    <n v="145"/>
    <n v="718.78"/>
  </r>
  <r>
    <x v="322"/>
    <x v="3"/>
    <x v="3"/>
    <x v="0"/>
    <x v="6"/>
    <x v="1"/>
    <x v="11"/>
    <x v="2"/>
    <x v="6"/>
    <x v="1"/>
    <n v="655"/>
    <n v="2975.04"/>
  </r>
  <r>
    <x v="323"/>
    <x v="0"/>
    <x v="2"/>
    <x v="0"/>
    <x v="6"/>
    <x v="1"/>
    <x v="3"/>
    <x v="2"/>
    <x v="6"/>
    <x v="1"/>
    <n v="505"/>
    <n v="1543.49"/>
  </r>
  <r>
    <x v="324"/>
    <x v="6"/>
    <x v="2"/>
    <x v="0"/>
    <x v="6"/>
    <x v="1"/>
    <x v="3"/>
    <x v="3"/>
    <x v="0"/>
    <x v="0"/>
    <n v="370"/>
    <n v="366.12"/>
  </r>
  <r>
    <x v="325"/>
    <x v="4"/>
    <x v="0"/>
    <x v="0"/>
    <x v="6"/>
    <x v="1"/>
    <x v="15"/>
    <x v="3"/>
    <x v="0"/>
    <x v="0"/>
    <n v="280"/>
    <n v="921.53"/>
  </r>
  <r>
    <x v="326"/>
    <x v="0"/>
    <x v="5"/>
    <x v="1"/>
    <x v="6"/>
    <x v="1"/>
    <x v="4"/>
    <x v="3"/>
    <x v="0"/>
    <x v="0"/>
    <n v="650"/>
    <n v="2127.44"/>
  </r>
  <r>
    <x v="327"/>
    <x v="3"/>
    <x v="5"/>
    <x v="1"/>
    <x v="6"/>
    <x v="1"/>
    <x v="3"/>
    <x v="3"/>
    <x v="0"/>
    <x v="0"/>
    <n v="405"/>
    <n v="1104.54"/>
  </r>
  <r>
    <x v="328"/>
    <x v="0"/>
    <x v="5"/>
    <x v="1"/>
    <x v="6"/>
    <x v="1"/>
    <x v="19"/>
    <x v="3"/>
    <x v="0"/>
    <x v="0"/>
    <n v="165"/>
    <n v="192.16"/>
  </r>
  <r>
    <x v="329"/>
    <x v="0"/>
    <x v="2"/>
    <x v="0"/>
    <x v="6"/>
    <x v="1"/>
    <x v="17"/>
    <x v="3"/>
    <x v="1"/>
    <x v="1"/>
    <n v="700"/>
    <n v="1046.58"/>
  </r>
  <r>
    <x v="330"/>
    <x v="4"/>
    <x v="1"/>
    <x v="1"/>
    <x v="6"/>
    <x v="1"/>
    <x v="17"/>
    <x v="3"/>
    <x v="1"/>
    <x v="1"/>
    <n v="95"/>
    <n v="183.38"/>
  </r>
  <r>
    <x v="331"/>
    <x v="4"/>
    <x v="2"/>
    <x v="0"/>
    <x v="6"/>
    <x v="1"/>
    <x v="8"/>
    <x v="3"/>
    <x v="2"/>
    <x v="1"/>
    <n v="60"/>
    <n v="264.69"/>
  </r>
  <r>
    <x v="332"/>
    <x v="4"/>
    <x v="4"/>
    <x v="1"/>
    <x v="6"/>
    <x v="1"/>
    <x v="16"/>
    <x v="3"/>
    <x v="2"/>
    <x v="1"/>
    <n v="890"/>
    <n v="3615.2"/>
  </r>
  <r>
    <x v="333"/>
    <x v="3"/>
    <x v="2"/>
    <x v="0"/>
    <x v="6"/>
    <x v="1"/>
    <x v="3"/>
    <x v="3"/>
    <x v="3"/>
    <x v="1"/>
    <n v="300"/>
    <n v="914.82"/>
  </r>
  <r>
    <x v="334"/>
    <x v="1"/>
    <x v="2"/>
    <x v="0"/>
    <x v="6"/>
    <x v="1"/>
    <x v="17"/>
    <x v="3"/>
    <x v="3"/>
    <x v="1"/>
    <n v="625"/>
    <n v="1360.34"/>
  </r>
  <r>
    <x v="335"/>
    <x v="2"/>
    <x v="0"/>
    <x v="0"/>
    <x v="6"/>
    <x v="1"/>
    <x v="17"/>
    <x v="3"/>
    <x v="4"/>
    <x v="0"/>
    <n v="35"/>
    <n v="120.82"/>
  </r>
  <r>
    <x v="336"/>
    <x v="5"/>
    <x v="5"/>
    <x v="1"/>
    <x v="6"/>
    <x v="1"/>
    <x v="6"/>
    <x v="3"/>
    <x v="4"/>
    <x v="0"/>
    <n v="350"/>
    <n v="2634"/>
  </r>
  <r>
    <x v="337"/>
    <x v="3"/>
    <x v="2"/>
    <x v="0"/>
    <x v="6"/>
    <x v="1"/>
    <x v="13"/>
    <x v="3"/>
    <x v="6"/>
    <x v="1"/>
    <n v="820"/>
    <n v="5994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BFE0B-7ABB-4325-AE40-7D58F7431BC4}" name="PivotTable1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I12" firstHeaderRow="1" firstDataRow="2" firstDataCol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multipleItemSelectionAllowed="1" showAll="0">
      <items count="8">
        <item x="2"/>
        <item x="5"/>
        <item x="1"/>
        <item x="4"/>
        <item x="6"/>
        <item x="3"/>
        <item x="0"/>
        <item t="default"/>
      </items>
    </pivotField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Euros" fld="11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0F242-5E36-4BD1-80C4-53D998DA6732}" name="PivotTable2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20" firstHeaderRow="1" firstDataRow="1" firstDataCol="1" rowPageCount="2" colPageCount="1"/>
  <pivotFields count="13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Page" showAll="0">
      <items count="5">
        <item x="3"/>
        <item x="1"/>
        <item x="0"/>
        <item x="2"/>
        <item t="default"/>
      </items>
    </pivotField>
    <pivotField axis="axisRow" showAll="0">
      <items count="21">
        <item x="4"/>
        <item x="17"/>
        <item x="6"/>
        <item x="7"/>
        <item x="10"/>
        <item x="14"/>
        <item x="16"/>
        <item x="11"/>
        <item x="1"/>
        <item x="15"/>
        <item x="3"/>
        <item x="2"/>
        <item x="12"/>
        <item x="0"/>
        <item x="5"/>
        <item x="8"/>
        <item x="19"/>
        <item x="18"/>
        <item x="13"/>
        <item x="9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6">
    <i>
      <x/>
    </i>
    <i>
      <x v="2"/>
    </i>
    <i>
      <x v="3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Items count="1">
    <i/>
  </colItems>
  <pageFields count="2">
    <pageField fld="7" item="1" hier="-1"/>
    <pageField fld="5" item="1" hier="-1"/>
  </pageFields>
  <dataFields count="1">
    <dataField name="Sum of Uni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0EC65-F88D-49BF-B04C-4BA7C696192B}" name="PivotTable4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I7" firstHeaderRow="1" firstDataRow="2" firstDataCol="1"/>
  <pivotFields count="13">
    <pivotField numFmtId="164" showAll="0"/>
    <pivotField showAll="0"/>
    <pivotField axis="axisCol" showAll="0">
      <items count="8">
        <item x="6"/>
        <item x="3"/>
        <item x="2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2" showAll="0"/>
    <pivotField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Uni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A1D09-6BF4-49BB-9C72-797B453C8A79}" name="PivotTable5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7" firstHeaderRow="1" firstDataRow="2" firstDataCol="1"/>
  <pivotFields count="13">
    <pivotField numFmtId="164" showAll="0"/>
    <pivotField showAll="0"/>
    <pivotField showAll="0"/>
    <pivotField showAll="0"/>
    <pivotField showAll="0"/>
    <pivotField axis="axisRow" showAll="0">
      <items count="5">
        <item x="3"/>
        <item h="1" x="1"/>
        <item h="1" x="0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numFmtId="2" showAll="0"/>
    <pivotField showAll="0" defaultSubtotal="0"/>
  </pivotFields>
  <rowFields count="1">
    <field x="5"/>
  </rowFields>
  <rowItems count="3">
    <i>
      <x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Euro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34AE-3640-410A-97FA-73B6A341E5FD}" name="PivotTable6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1" firstDataRow="2" firstDataCol="1"/>
  <pivotFields count="13">
    <pivotField numFmtId="164" showAll="0"/>
    <pivotField showAll="0"/>
    <pivotField showAll="0"/>
    <pivotField showAll="0"/>
    <pivotField showAll="0"/>
    <pivotField axis="axisRow" showAll="0">
      <items count="5">
        <item h="1" x="3"/>
        <item x="1"/>
        <item x="0"/>
        <item h="1" x="2"/>
        <item t="default"/>
      </items>
    </pivotField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  <pivotField dataField="1" numFmtId="2" showAll="0"/>
    <pivotField showAll="0" defaultSubtotal="0"/>
  </pivotFields>
  <rowFields count="1">
    <field x="5"/>
  </rowFields>
  <rowItems count="3">
    <i>
      <x v="1"/>
    </i>
    <i>
      <x v="2"/>
    </i>
    <i t="grand">
      <x/>
    </i>
  </rowItems>
  <colFields count="1">
    <field x="9"/>
  </colFields>
  <colItems count="2">
    <i>
      <x v="1"/>
    </i>
    <i t="grand">
      <x/>
    </i>
  </colItems>
  <dataFields count="1">
    <dataField name="Sum of Euro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83827-7FBD-4A27-9366-D8C25FF18B7D}" name="PivotTable7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7" firstHeaderRow="1" firstDataRow="2" firstDataCol="1"/>
  <pivotFields count="13">
    <pivotField numFmtId="164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5">
        <item h="1" x="3"/>
        <item x="1"/>
        <item x="0"/>
        <item h="1" x="2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showAll="0" defaultSubtotal="0"/>
  </pivotFields>
  <rowFields count="1">
    <field x="5"/>
  </rowFields>
  <rowItems count="3"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Uni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4880B-737A-4560-AD68-AB819056B1B0}" name="PivotTable8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I9" firstHeaderRow="1" firstDataRow="2" firstDataCol="1" rowPageCount="1" colPageCount="1"/>
  <pivotFields count="13">
    <pivotField numFmtId="164" showAll="0"/>
    <pivotField axis="axisCol" showAll="0">
      <items count="8">
        <item x="1"/>
        <item x="6"/>
        <item x="3"/>
        <item x="0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dataField="1" showAll="0"/>
    <pivotField numFmtId="2" showAl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9" hier="-1"/>
  </pageFields>
  <dataFields count="1">
    <dataField name="Sum of Unit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20E89-8AE8-4D5F-B338-AB0D9F61CA1A}" name="PivotTable9" cacheId="55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I22" firstHeaderRow="1" firstDataRow="2" firstDataCol="1"/>
  <pivotFields count="13">
    <pivotField numFmtId="164" showAll="0"/>
    <pivotField axis="axisRow" showAll="0">
      <items count="8">
        <item x="1"/>
        <item x="6"/>
        <item x="3"/>
        <item x="0"/>
        <item x="5"/>
        <item x="4"/>
        <item x="2"/>
        <item t="default"/>
      </items>
    </pivotField>
    <pivotField showAll="0"/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numFmtId="2" showAll="0"/>
    <pivotField showAll="0" defaultSubtotal="0"/>
  </pivotFields>
  <rowFields count="2">
    <field x="-2"/>
    <field x="1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2">
    <dataField name="Sum of Units" fld="10" baseField="0" baseItem="0"/>
    <dataField name="Count of Custom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40"/>
  <sheetViews>
    <sheetView topLeftCell="A2" workbookViewId="0">
      <selection activeCell="B2" sqref="B2:M340"/>
    </sheetView>
  </sheetViews>
  <sheetFormatPr defaultColWidth="8.85546875" defaultRowHeight="12.75" x14ac:dyDescent="0.2"/>
  <cols>
    <col min="1" max="1" width="2.7109375" customWidth="1"/>
    <col min="2" max="2" width="18.140625" bestFit="1" customWidth="1"/>
    <col min="3" max="3" width="10.85546875" bestFit="1" customWidth="1"/>
    <col min="4" max="4" width="8.28515625" bestFit="1" customWidth="1"/>
    <col min="5" max="5" width="10.140625" customWidth="1"/>
    <col min="6" max="6" width="9.28515625" bestFit="1" customWidth="1"/>
    <col min="7" max="7" width="14.28515625" bestFit="1" customWidth="1"/>
    <col min="8" max="8" width="20.85546875" bestFit="1" customWidth="1"/>
    <col min="9" max="9" width="6.85546875" bestFit="1" customWidth="1"/>
    <col min="10" max="10" width="9.7109375" bestFit="1" customWidth="1"/>
    <col min="11" max="11" width="12.42578125" bestFit="1" customWidth="1"/>
    <col min="12" max="12" width="5.42578125" bestFit="1" customWidth="1"/>
    <col min="13" max="13" width="7.42578125" style="2" bestFit="1" customWidth="1"/>
    <col min="14" max="14" width="2.7109375" customWidth="1"/>
  </cols>
  <sheetData>
    <row r="2" spans="2:13" s="1" customFormat="1" x14ac:dyDescent="0.2">
      <c r="B2" s="1" t="s">
        <v>30</v>
      </c>
      <c r="C2" s="1" t="s">
        <v>75</v>
      </c>
      <c r="D2" s="1" t="s">
        <v>45</v>
      </c>
      <c r="E2" s="1" t="s">
        <v>70</v>
      </c>
      <c r="F2" s="1" t="s">
        <v>31</v>
      </c>
      <c r="G2" s="1" t="s">
        <v>52</v>
      </c>
      <c r="H2" s="1" t="s">
        <v>42</v>
      </c>
      <c r="I2" s="1" t="s">
        <v>32</v>
      </c>
      <c r="J2" s="1" t="s">
        <v>33</v>
      </c>
      <c r="K2" s="1" t="s">
        <v>62</v>
      </c>
      <c r="L2" s="4" t="s">
        <v>34</v>
      </c>
      <c r="M2" s="3" t="s">
        <v>44</v>
      </c>
    </row>
    <row r="3" spans="2:13" x14ac:dyDescent="0.2">
      <c r="B3" s="5">
        <v>38477.259613677117</v>
      </c>
      <c r="C3" s="5" t="str">
        <f>TEXT(B3,"dddd")</f>
        <v>Thursday</v>
      </c>
      <c r="D3" s="5" t="str">
        <f>TEXT(B3,"MMMM")</f>
        <v>May</v>
      </c>
      <c r="E3" s="5" t="str">
        <f>IFERROR(VLOOKUP(D3,monthseason,2,FALSE),"unknown")</f>
        <v>Spring</v>
      </c>
      <c r="F3" t="s">
        <v>3</v>
      </c>
      <c r="G3" t="str">
        <f>IFERROR(VLOOKUP(F3,citycountry,2,FALSE),"unknown")</f>
        <v>Spain</v>
      </c>
      <c r="H3" t="s">
        <v>14</v>
      </c>
      <c r="I3" t="s">
        <v>35</v>
      </c>
      <c r="J3" t="s">
        <v>39</v>
      </c>
      <c r="K3" t="str">
        <f>IFERROR(VLOOKUP(J3,producttype,2,FALSE),"unknown")</f>
        <v>Cold</v>
      </c>
      <c r="L3">
        <v>605</v>
      </c>
      <c r="M3" s="2">
        <v>269.79000000000002</v>
      </c>
    </row>
    <row r="4" spans="2:13" x14ac:dyDescent="0.2">
      <c r="B4" s="5">
        <v>38474.662930797254</v>
      </c>
      <c r="C4" s="5" t="str">
        <f t="shared" ref="C4:C67" si="0">TEXT(B4,"dddd")</f>
        <v>Monday</v>
      </c>
      <c r="D4" s="5" t="str">
        <f>TEXT(B4,"MMMM")</f>
        <v>May</v>
      </c>
      <c r="E4" s="5" t="str">
        <f>IFERROR(VLOOKUP(D4,monthseason,2,FALSE),"unknown")</f>
        <v>Spring</v>
      </c>
      <c r="F4" t="s">
        <v>3</v>
      </c>
      <c r="G4" t="str">
        <f>IFERROR(VLOOKUP(F4,citycountry,2,FALSE),"unknown")</f>
        <v>Spain</v>
      </c>
      <c r="H4" t="s">
        <v>14</v>
      </c>
      <c r="I4" t="s">
        <v>35</v>
      </c>
      <c r="J4" t="s">
        <v>40</v>
      </c>
      <c r="K4" t="str">
        <f>IFERROR(VLOOKUP(J4,producttype,2,FALSE),"unknown")</f>
        <v>Hot</v>
      </c>
      <c r="L4">
        <v>525</v>
      </c>
      <c r="M4" s="2">
        <v>1095.29</v>
      </c>
    </row>
    <row r="5" spans="2:13" x14ac:dyDescent="0.2">
      <c r="B5" s="5">
        <v>38480.605557013405</v>
      </c>
      <c r="C5" s="5" t="str">
        <f t="shared" si="0"/>
        <v>Sunday</v>
      </c>
      <c r="D5" s="5" t="str">
        <f>TEXT(B5,"MMMM")</f>
        <v>May</v>
      </c>
      <c r="E5" s="5" t="str">
        <f>IFERROR(VLOOKUP(D5,monthseason,2,FALSE),"unknown")</f>
        <v>Spring</v>
      </c>
      <c r="F5" t="s">
        <v>3</v>
      </c>
      <c r="G5" t="str">
        <f>IFERROR(VLOOKUP(F5,citycountry,2,FALSE),"unknown")</f>
        <v>Spain</v>
      </c>
      <c r="H5" t="s">
        <v>14</v>
      </c>
      <c r="I5" t="s">
        <v>35</v>
      </c>
      <c r="J5" t="s">
        <v>40</v>
      </c>
      <c r="K5" t="str">
        <f>IFERROR(VLOOKUP(J5,producttype,2,FALSE),"unknown")</f>
        <v>Hot</v>
      </c>
      <c r="L5">
        <v>565</v>
      </c>
      <c r="M5" s="2">
        <v>1233.01</v>
      </c>
    </row>
    <row r="6" spans="2:13" x14ac:dyDescent="0.2">
      <c r="B6" s="5">
        <v>38519.858648719281</v>
      </c>
      <c r="C6" s="5" t="str">
        <f t="shared" si="0"/>
        <v>Thursday</v>
      </c>
      <c r="D6" s="5" t="str">
        <f>TEXT(B6,"MMMM")</f>
        <v>June</v>
      </c>
      <c r="E6" s="5" t="str">
        <f>IFERROR(VLOOKUP(D6,monthseason,2,FALSE),"unknown")</f>
        <v>Summer</v>
      </c>
      <c r="F6" t="s">
        <v>3</v>
      </c>
      <c r="G6" t="str">
        <f>IFERROR(VLOOKUP(F6,citycountry,2,FALSE),"unknown")</f>
        <v>Spain</v>
      </c>
      <c r="H6" t="s">
        <v>24</v>
      </c>
      <c r="I6" t="s">
        <v>35</v>
      </c>
      <c r="J6" t="s">
        <v>40</v>
      </c>
      <c r="K6" t="str">
        <f>IFERROR(VLOOKUP(J6,producttype,2,FALSE),"unknown")</f>
        <v>Hot</v>
      </c>
      <c r="L6">
        <v>800</v>
      </c>
      <c r="M6" s="2">
        <v>1438.51</v>
      </c>
    </row>
    <row r="7" spans="2:13" x14ac:dyDescent="0.2">
      <c r="B7" s="5">
        <v>38455.299489112374</v>
      </c>
      <c r="C7" s="5" t="str">
        <f t="shared" si="0"/>
        <v>Wednesday</v>
      </c>
      <c r="D7" s="5" t="str">
        <f>TEXT(B7,"MMMM")</f>
        <v>April</v>
      </c>
      <c r="E7" s="5" t="str">
        <f>IFERROR(VLOOKUP(D7,monthseason,2,FALSE),"unknown")</f>
        <v>Spring</v>
      </c>
      <c r="F7" t="s">
        <v>3</v>
      </c>
      <c r="G7" t="str">
        <f>IFERROR(VLOOKUP(F7,citycountry,2,FALSE),"unknown")</f>
        <v>Spain</v>
      </c>
      <c r="H7" t="s">
        <v>8</v>
      </c>
      <c r="I7" t="s">
        <v>35</v>
      </c>
      <c r="J7" t="s">
        <v>28</v>
      </c>
      <c r="K7" t="str">
        <f>IFERROR(VLOOKUP(J7,producttype,2,FALSE),"unknown")</f>
        <v>Hot</v>
      </c>
      <c r="L7">
        <v>900</v>
      </c>
      <c r="M7" s="2">
        <v>3404.34</v>
      </c>
    </row>
    <row r="8" spans="2:13" x14ac:dyDescent="0.2">
      <c r="B8" s="5">
        <v>38463.129400394471</v>
      </c>
      <c r="C8" s="5" t="str">
        <f t="shared" si="0"/>
        <v>Thursday</v>
      </c>
      <c r="D8" s="5" t="str">
        <f>TEXT(B8,"MMMM")</f>
        <v>April</v>
      </c>
      <c r="E8" s="5" t="str">
        <f>IFERROR(VLOOKUP(D8,monthseason,2,FALSE),"unknown")</f>
        <v>Spring</v>
      </c>
      <c r="F8" t="s">
        <v>3</v>
      </c>
      <c r="G8" t="str">
        <f>IFERROR(VLOOKUP(F8,citycountry,2,FALSE),"unknown")</f>
        <v>Spain</v>
      </c>
      <c r="H8" t="s">
        <v>13</v>
      </c>
      <c r="I8" t="s">
        <v>35</v>
      </c>
      <c r="J8" t="s">
        <v>41</v>
      </c>
      <c r="K8" t="str">
        <f>IFERROR(VLOOKUP(J8,producttype,2,FALSE),"unknown")</f>
        <v>Hot</v>
      </c>
      <c r="L8">
        <v>225</v>
      </c>
      <c r="M8" s="2">
        <v>608.01</v>
      </c>
    </row>
    <row r="9" spans="2:13" x14ac:dyDescent="0.2">
      <c r="B9" s="5">
        <v>38445.461845642472</v>
      </c>
      <c r="C9" s="5" t="str">
        <f t="shared" si="0"/>
        <v>Sunday</v>
      </c>
      <c r="D9" s="5" t="str">
        <f>TEXT(B9,"MMMM")</f>
        <v>April</v>
      </c>
      <c r="E9" s="5" t="str">
        <f>IFERROR(VLOOKUP(D9,monthseason,2,FALSE),"unknown")</f>
        <v>Spring</v>
      </c>
      <c r="F9" t="s">
        <v>3</v>
      </c>
      <c r="G9" t="str">
        <f>IFERROR(VLOOKUP(F9,citycountry,2,FALSE),"unknown")</f>
        <v>Spain</v>
      </c>
      <c r="H9" t="s">
        <v>6</v>
      </c>
      <c r="I9" t="s">
        <v>35</v>
      </c>
      <c r="J9" t="s">
        <v>27</v>
      </c>
      <c r="K9" t="str">
        <f>IFERROR(VLOOKUP(J9,producttype,2,FALSE),"unknown")</f>
        <v>Cold</v>
      </c>
      <c r="L9">
        <v>80</v>
      </c>
      <c r="M9" s="2">
        <v>236.11</v>
      </c>
    </row>
    <row r="10" spans="2:13" x14ac:dyDescent="0.2">
      <c r="B10" s="5">
        <v>38504.921763153936</v>
      </c>
      <c r="C10" s="5" t="str">
        <f t="shared" si="0"/>
        <v>Wednesday</v>
      </c>
      <c r="D10" s="5" t="str">
        <f>TEXT(B10,"MMMM")</f>
        <v>June</v>
      </c>
      <c r="E10" s="5" t="str">
        <f>IFERROR(VLOOKUP(D10,monthseason,2,FALSE),"unknown")</f>
        <v>Summer</v>
      </c>
      <c r="F10" t="s">
        <v>3</v>
      </c>
      <c r="G10" t="str">
        <f>IFERROR(VLOOKUP(F10,citycountry,2,FALSE),"unknown")</f>
        <v>Spain</v>
      </c>
      <c r="H10" t="s">
        <v>16</v>
      </c>
      <c r="I10" t="s">
        <v>35</v>
      </c>
      <c r="J10" t="s">
        <v>27</v>
      </c>
      <c r="K10" t="str">
        <f>IFERROR(VLOOKUP(J10,producttype,2,FALSE),"unknown")</f>
        <v>Cold</v>
      </c>
      <c r="L10">
        <v>760</v>
      </c>
      <c r="M10" s="2">
        <v>2227.0300000000002</v>
      </c>
    </row>
    <row r="11" spans="2:13" x14ac:dyDescent="0.2">
      <c r="B11" s="5">
        <v>38507.437945037615</v>
      </c>
      <c r="C11" s="5" t="str">
        <f t="shared" si="0"/>
        <v>Saturday</v>
      </c>
      <c r="D11" s="5" t="str">
        <f>TEXT(B11,"MMMM")</f>
        <v>June</v>
      </c>
      <c r="E11" s="5" t="str">
        <f>IFERROR(VLOOKUP(D11,monthseason,2,FALSE),"unknown")</f>
        <v>Summer</v>
      </c>
      <c r="F11" t="s">
        <v>3</v>
      </c>
      <c r="G11" t="str">
        <f>IFERROR(VLOOKUP(F11,citycountry,2,FALSE),"unknown")</f>
        <v>Spain</v>
      </c>
      <c r="H11" t="s">
        <v>14</v>
      </c>
      <c r="I11" t="s">
        <v>35</v>
      </c>
      <c r="J11" t="s">
        <v>27</v>
      </c>
      <c r="K11" t="str">
        <f>IFERROR(VLOOKUP(J11,producttype,2,FALSE),"unknown")</f>
        <v>Cold</v>
      </c>
      <c r="L11">
        <v>5</v>
      </c>
      <c r="M11" s="2">
        <v>14.27</v>
      </c>
    </row>
    <row r="12" spans="2:13" x14ac:dyDescent="0.2">
      <c r="B12" s="5">
        <v>38418.613228464063</v>
      </c>
      <c r="C12" s="5" t="str">
        <f t="shared" si="0"/>
        <v>Monday</v>
      </c>
      <c r="D12" s="5" t="str">
        <f>TEXT(B12,"MMMM")</f>
        <v>March</v>
      </c>
      <c r="E12" s="5" t="str">
        <f>IFERROR(VLOOKUP(D12,monthseason,2,FALSE),"unknown")</f>
        <v>Spring</v>
      </c>
      <c r="F12" t="s">
        <v>3</v>
      </c>
      <c r="G12" t="str">
        <f>IFERROR(VLOOKUP(F12,citycountry,2,FALSE),"unknown")</f>
        <v>Spain</v>
      </c>
      <c r="H12" t="s">
        <v>12</v>
      </c>
      <c r="I12" t="s">
        <v>26</v>
      </c>
      <c r="J12" t="s">
        <v>39</v>
      </c>
      <c r="K12" t="str">
        <f>IFERROR(VLOOKUP(J12,producttype,2,FALSE),"unknown")</f>
        <v>Cold</v>
      </c>
      <c r="L12">
        <v>560</v>
      </c>
      <c r="M12" s="2">
        <v>238.16</v>
      </c>
    </row>
    <row r="13" spans="2:13" x14ac:dyDescent="0.2">
      <c r="B13" s="5">
        <v>38436.582005767676</v>
      </c>
      <c r="C13" s="5" t="str">
        <f t="shared" si="0"/>
        <v>Friday</v>
      </c>
      <c r="D13" s="5" t="str">
        <f>TEXT(B13,"MMMM")</f>
        <v>March</v>
      </c>
      <c r="E13" s="5" t="str">
        <f>IFERROR(VLOOKUP(D13,monthseason,2,FALSE),"unknown")</f>
        <v>Spring</v>
      </c>
      <c r="F13" t="s">
        <v>3</v>
      </c>
      <c r="G13" t="str">
        <f>IFERROR(VLOOKUP(F13,citycountry,2,FALSE),"unknown")</f>
        <v>Spain</v>
      </c>
      <c r="H13" t="s">
        <v>5</v>
      </c>
      <c r="I13" t="s">
        <v>26</v>
      </c>
      <c r="J13" t="s">
        <v>39</v>
      </c>
      <c r="K13" t="str">
        <f>IFERROR(VLOOKUP(J13,producttype,2,FALSE),"unknown")</f>
        <v>Cold</v>
      </c>
      <c r="L13">
        <v>785</v>
      </c>
      <c r="M13" s="2">
        <v>315.67</v>
      </c>
    </row>
    <row r="14" spans="2:13" x14ac:dyDescent="0.2">
      <c r="B14" s="5">
        <v>38450.792966549452</v>
      </c>
      <c r="C14" s="5" t="str">
        <f t="shared" si="0"/>
        <v>Friday</v>
      </c>
      <c r="D14" s="5" t="str">
        <f>TEXT(B14,"MMMM")</f>
        <v>April</v>
      </c>
      <c r="E14" s="5" t="str">
        <f>IFERROR(VLOOKUP(D14,monthseason,2,FALSE),"unknown")</f>
        <v>Spring</v>
      </c>
      <c r="F14" t="s">
        <v>3</v>
      </c>
      <c r="G14" t="str">
        <f>IFERROR(VLOOKUP(F14,citycountry,2,FALSE),"unknown")</f>
        <v>Spain</v>
      </c>
      <c r="H14" t="s">
        <v>10</v>
      </c>
      <c r="I14" t="s">
        <v>26</v>
      </c>
      <c r="J14" t="s">
        <v>39</v>
      </c>
      <c r="K14" t="str">
        <f>IFERROR(VLOOKUP(J14,producttype,2,FALSE),"unknown")</f>
        <v>Cold</v>
      </c>
      <c r="L14">
        <v>760</v>
      </c>
      <c r="M14" s="2">
        <v>305.92</v>
      </c>
    </row>
    <row r="15" spans="2:13" x14ac:dyDescent="0.2">
      <c r="B15" s="5">
        <v>38467.558501326203</v>
      </c>
      <c r="C15" s="5" t="str">
        <f t="shared" si="0"/>
        <v>Monday</v>
      </c>
      <c r="D15" s="5" t="str">
        <f>TEXT(B15,"MMMM")</f>
        <v>April</v>
      </c>
      <c r="E15" s="5" t="str">
        <f>IFERROR(VLOOKUP(D15,monthseason,2,FALSE),"unknown")</f>
        <v>Spring</v>
      </c>
      <c r="F15" t="s">
        <v>3</v>
      </c>
      <c r="G15" t="str">
        <f>IFERROR(VLOOKUP(F15,citycountry,2,FALSE),"unknown")</f>
        <v>Spain</v>
      </c>
      <c r="H15" t="s">
        <v>6</v>
      </c>
      <c r="I15" t="s">
        <v>26</v>
      </c>
      <c r="J15" t="s">
        <v>39</v>
      </c>
      <c r="K15" t="str">
        <f>IFERROR(VLOOKUP(J15,producttype,2,FALSE),"unknown")</f>
        <v>Cold</v>
      </c>
      <c r="L15">
        <v>790</v>
      </c>
      <c r="M15" s="2">
        <v>326.39</v>
      </c>
    </row>
    <row r="16" spans="2:13" x14ac:dyDescent="0.2">
      <c r="B16" s="5">
        <v>38468.927348434685</v>
      </c>
      <c r="C16" s="5" t="str">
        <f t="shared" si="0"/>
        <v>Tuesday</v>
      </c>
      <c r="D16" s="5" t="str">
        <f>TEXT(B16,"MMMM")</f>
        <v>April</v>
      </c>
      <c r="E16" s="5" t="str">
        <f>IFERROR(VLOOKUP(D16,monthseason,2,FALSE),"unknown")</f>
        <v>Spring</v>
      </c>
      <c r="F16" t="s">
        <v>3</v>
      </c>
      <c r="G16" t="str">
        <f>IFERROR(VLOOKUP(F16,citycountry,2,FALSE),"unknown")</f>
        <v>Spain</v>
      </c>
      <c r="H16" t="s">
        <v>12</v>
      </c>
      <c r="I16" t="s">
        <v>26</v>
      </c>
      <c r="J16" t="s">
        <v>39</v>
      </c>
      <c r="K16" t="str">
        <f>IFERROR(VLOOKUP(J16,producttype,2,FALSE),"unknown")</f>
        <v>Cold</v>
      </c>
      <c r="L16">
        <v>440</v>
      </c>
      <c r="M16" s="2">
        <v>174.53</v>
      </c>
    </row>
    <row r="17" spans="2:13" x14ac:dyDescent="0.2">
      <c r="B17" s="5">
        <v>38492.036094885443</v>
      </c>
      <c r="C17" s="5" t="str">
        <f t="shared" si="0"/>
        <v>Friday</v>
      </c>
      <c r="D17" s="5" t="str">
        <f>TEXT(B17,"MMMM")</f>
        <v>May</v>
      </c>
      <c r="E17" s="5" t="str">
        <f>IFERROR(VLOOKUP(D17,monthseason,2,FALSE),"unknown")</f>
        <v>Spring</v>
      </c>
      <c r="F17" t="s">
        <v>3</v>
      </c>
      <c r="G17" t="str">
        <f>IFERROR(VLOOKUP(F17,citycountry,2,FALSE),"unknown")</f>
        <v>Spain</v>
      </c>
      <c r="H17" t="s">
        <v>7</v>
      </c>
      <c r="I17" t="s">
        <v>26</v>
      </c>
      <c r="J17" t="s">
        <v>39</v>
      </c>
      <c r="K17" t="str">
        <f>IFERROR(VLOOKUP(J17,producttype,2,FALSE),"unknown")</f>
        <v>Cold</v>
      </c>
      <c r="L17">
        <v>465</v>
      </c>
      <c r="M17" s="2">
        <v>206.68</v>
      </c>
    </row>
    <row r="18" spans="2:13" x14ac:dyDescent="0.2">
      <c r="B18" s="5">
        <v>38513.736175646693</v>
      </c>
      <c r="C18" s="5" t="str">
        <f t="shared" si="0"/>
        <v>Friday</v>
      </c>
      <c r="D18" s="5" t="str">
        <f>TEXT(B18,"MMMM")</f>
        <v>June</v>
      </c>
      <c r="E18" s="5" t="str">
        <f>IFERROR(VLOOKUP(D18,monthseason,2,FALSE),"unknown")</f>
        <v>Summer</v>
      </c>
      <c r="F18" t="s">
        <v>3</v>
      </c>
      <c r="G18" t="str">
        <f>IFERROR(VLOOKUP(F18,citycountry,2,FALSE),"unknown")</f>
        <v>Spain</v>
      </c>
      <c r="H18" t="s">
        <v>10</v>
      </c>
      <c r="I18" t="s">
        <v>26</v>
      </c>
      <c r="J18" t="s">
        <v>39</v>
      </c>
      <c r="K18" t="str">
        <f>IFERROR(VLOOKUP(J18,producttype,2,FALSE),"unknown")</f>
        <v>Cold</v>
      </c>
      <c r="L18">
        <v>340</v>
      </c>
      <c r="M18" s="2">
        <v>1024.6500000000001</v>
      </c>
    </row>
    <row r="19" spans="2:13" x14ac:dyDescent="0.2">
      <c r="B19" s="5">
        <v>38546.249972655671</v>
      </c>
      <c r="C19" s="5" t="str">
        <f t="shared" si="0"/>
        <v>Wednesday</v>
      </c>
      <c r="D19" s="5" t="str">
        <f>TEXT(B19,"MMMM")</f>
        <v>July</v>
      </c>
      <c r="E19" s="5" t="str">
        <f>IFERROR(VLOOKUP(D19,monthseason,2,FALSE),"unknown")</f>
        <v>Summer</v>
      </c>
      <c r="F19" t="s">
        <v>3</v>
      </c>
      <c r="G19" t="str">
        <f>IFERROR(VLOOKUP(F19,citycountry,2,FALSE),"unknown")</f>
        <v>Spain</v>
      </c>
      <c r="H19" t="s">
        <v>7</v>
      </c>
      <c r="I19" t="s">
        <v>26</v>
      </c>
      <c r="J19" t="s">
        <v>39</v>
      </c>
      <c r="K19" t="str">
        <f>IFERROR(VLOOKUP(J19,producttype,2,FALSE),"unknown")</f>
        <v>Cold</v>
      </c>
      <c r="L19">
        <v>610</v>
      </c>
      <c r="M19" s="2">
        <v>1083.82</v>
      </c>
    </row>
    <row r="20" spans="2:13" x14ac:dyDescent="0.2">
      <c r="B20" s="5">
        <v>38487.806489773953</v>
      </c>
      <c r="C20" s="5" t="str">
        <f t="shared" si="0"/>
        <v>Sunday</v>
      </c>
      <c r="D20" s="5" t="str">
        <f>TEXT(B20,"MMMM")</f>
        <v>May</v>
      </c>
      <c r="E20" s="5" t="str">
        <f>IFERROR(VLOOKUP(D20,monthseason,2,FALSE),"unknown")</f>
        <v>Spring</v>
      </c>
      <c r="F20" t="s">
        <v>3</v>
      </c>
      <c r="G20" t="str">
        <f>IFERROR(VLOOKUP(F20,citycountry,2,FALSE),"unknown")</f>
        <v>Spain</v>
      </c>
      <c r="H20" t="s">
        <v>20</v>
      </c>
      <c r="I20" t="s">
        <v>26</v>
      </c>
      <c r="J20" t="s">
        <v>43</v>
      </c>
      <c r="K20" t="str">
        <f>IFERROR(VLOOKUP(J20,producttype,2,FALSE),"unknown")</f>
        <v>Hot</v>
      </c>
      <c r="L20">
        <v>685</v>
      </c>
      <c r="M20" s="2">
        <v>1364.1</v>
      </c>
    </row>
    <row r="21" spans="2:13" x14ac:dyDescent="0.2">
      <c r="B21" s="5">
        <v>38493.917800438605</v>
      </c>
      <c r="C21" s="5" t="str">
        <f t="shared" si="0"/>
        <v>Saturday</v>
      </c>
      <c r="D21" s="5" t="str">
        <f>TEXT(B21,"MMMM")</f>
        <v>May</v>
      </c>
      <c r="E21" s="5" t="str">
        <f>IFERROR(VLOOKUP(D21,monthseason,2,FALSE),"unknown")</f>
        <v>Spring</v>
      </c>
      <c r="F21" t="s">
        <v>3</v>
      </c>
      <c r="G21" t="str">
        <f>IFERROR(VLOOKUP(F21,citycountry,2,FALSE),"unknown")</f>
        <v>Spain</v>
      </c>
      <c r="H21" t="s">
        <v>21</v>
      </c>
      <c r="I21" t="s">
        <v>26</v>
      </c>
      <c r="J21" t="s">
        <v>43</v>
      </c>
      <c r="K21" t="str">
        <f>IFERROR(VLOOKUP(J21,producttype,2,FALSE),"unknown")</f>
        <v>Hot</v>
      </c>
      <c r="L21">
        <v>735</v>
      </c>
      <c r="M21" s="2">
        <v>3409.87</v>
      </c>
    </row>
    <row r="22" spans="2:13" x14ac:dyDescent="0.2">
      <c r="B22" s="5">
        <v>38466.119198199711</v>
      </c>
      <c r="C22" s="5" t="str">
        <f t="shared" si="0"/>
        <v>Sunday</v>
      </c>
      <c r="D22" s="5" t="str">
        <f>TEXT(B22,"MMMM")</f>
        <v>April</v>
      </c>
      <c r="E22" s="5" t="str">
        <f>IFERROR(VLOOKUP(D22,monthseason,2,FALSE),"unknown")</f>
        <v>Spring</v>
      </c>
      <c r="F22" t="s">
        <v>3</v>
      </c>
      <c r="G22" t="str">
        <f>IFERROR(VLOOKUP(F22,citycountry,2,FALSE),"unknown")</f>
        <v>Spain</v>
      </c>
      <c r="H22" t="s">
        <v>16</v>
      </c>
      <c r="I22" t="s">
        <v>26</v>
      </c>
      <c r="J22" t="s">
        <v>40</v>
      </c>
      <c r="K22" t="str">
        <f>IFERROR(VLOOKUP(J22,producttype,2,FALSE),"unknown")</f>
        <v>Hot</v>
      </c>
      <c r="L22">
        <v>215</v>
      </c>
      <c r="M22" s="2">
        <v>175.43</v>
      </c>
    </row>
    <row r="23" spans="2:13" x14ac:dyDescent="0.2">
      <c r="B23" s="5">
        <v>38518.452028877604</v>
      </c>
      <c r="C23" s="5" t="str">
        <f t="shared" si="0"/>
        <v>Wednesday</v>
      </c>
      <c r="D23" s="5" t="str">
        <f>TEXT(B23,"MMMM")</f>
        <v>June</v>
      </c>
      <c r="E23" s="5" t="str">
        <f>IFERROR(VLOOKUP(D23,monthseason,2,FALSE),"unknown")</f>
        <v>Summer</v>
      </c>
      <c r="F23" t="s">
        <v>3</v>
      </c>
      <c r="G23" t="str">
        <f>IFERROR(VLOOKUP(F23,citycountry,2,FALSE),"unknown")</f>
        <v>Spain</v>
      </c>
      <c r="H23" t="s">
        <v>11</v>
      </c>
      <c r="I23" t="s">
        <v>26</v>
      </c>
      <c r="J23" t="s">
        <v>40</v>
      </c>
      <c r="K23" t="str">
        <f>IFERROR(VLOOKUP(J23,producttype,2,FALSE),"unknown")</f>
        <v>Hot</v>
      </c>
      <c r="L23">
        <v>690</v>
      </c>
      <c r="M23" s="2">
        <v>548.70000000000005</v>
      </c>
    </row>
    <row r="24" spans="2:13" x14ac:dyDescent="0.2">
      <c r="B24" s="5">
        <v>38431.605631451544</v>
      </c>
      <c r="C24" s="5" t="str">
        <f t="shared" si="0"/>
        <v>Sunday</v>
      </c>
      <c r="D24" s="5" t="str">
        <f>TEXT(B24,"MMMM")</f>
        <v>March</v>
      </c>
      <c r="E24" s="5" t="str">
        <f>IFERROR(VLOOKUP(D24,monthseason,2,FALSE),"unknown")</f>
        <v>Spring</v>
      </c>
      <c r="F24" t="s">
        <v>3</v>
      </c>
      <c r="G24" t="str">
        <f>IFERROR(VLOOKUP(F24,citycountry,2,FALSE),"unknown")</f>
        <v>Spain</v>
      </c>
      <c r="H24" t="s">
        <v>11</v>
      </c>
      <c r="I24" t="s">
        <v>26</v>
      </c>
      <c r="J24" t="s">
        <v>28</v>
      </c>
      <c r="K24" t="str">
        <f>IFERROR(VLOOKUP(J24,producttype,2,FALSE),"unknown")</f>
        <v>Hot</v>
      </c>
      <c r="L24">
        <v>335</v>
      </c>
      <c r="M24" s="2">
        <v>558.33000000000004</v>
      </c>
    </row>
    <row r="25" spans="2:13" x14ac:dyDescent="0.2">
      <c r="B25" s="5">
        <v>38483.991238050345</v>
      </c>
      <c r="C25" s="5" t="str">
        <f t="shared" si="0"/>
        <v>Wednesday</v>
      </c>
      <c r="D25" s="5" t="str">
        <f>TEXT(B25,"MMMM")</f>
        <v>May</v>
      </c>
      <c r="E25" s="5" t="str">
        <f>IFERROR(VLOOKUP(D25,monthseason,2,FALSE),"unknown")</f>
        <v>Spring</v>
      </c>
      <c r="F25" t="s">
        <v>3</v>
      </c>
      <c r="G25" t="str">
        <f>IFERROR(VLOOKUP(F25,citycountry,2,FALSE),"unknown")</f>
        <v>Spain</v>
      </c>
      <c r="H25" t="s">
        <v>24</v>
      </c>
      <c r="I25" t="s">
        <v>26</v>
      </c>
      <c r="J25" t="s">
        <v>41</v>
      </c>
      <c r="K25" t="str">
        <f>IFERROR(VLOOKUP(J25,producttype,2,FALSE),"unknown")</f>
        <v>Hot</v>
      </c>
      <c r="L25">
        <v>245</v>
      </c>
      <c r="M25" s="2">
        <v>285.17</v>
      </c>
    </row>
    <row r="26" spans="2:13" x14ac:dyDescent="0.2">
      <c r="B26" s="5">
        <v>38487.963576598217</v>
      </c>
      <c r="C26" s="5" t="str">
        <f t="shared" si="0"/>
        <v>Sunday</v>
      </c>
      <c r="D26" s="5" t="str">
        <f>TEXT(B26,"MMMM")</f>
        <v>May</v>
      </c>
      <c r="E26" s="5" t="str">
        <f>IFERROR(VLOOKUP(D26,monthseason,2,FALSE),"unknown")</f>
        <v>Spring</v>
      </c>
      <c r="F26" t="s">
        <v>3</v>
      </c>
      <c r="G26" t="str">
        <f>IFERROR(VLOOKUP(F26,citycountry,2,FALSE),"unknown")</f>
        <v>Spain</v>
      </c>
      <c r="H26" t="s">
        <v>17</v>
      </c>
      <c r="I26" t="s">
        <v>26</v>
      </c>
      <c r="J26" t="s">
        <v>41</v>
      </c>
      <c r="K26" t="str">
        <f>IFERROR(VLOOKUP(J26,producttype,2,FALSE),"unknown")</f>
        <v>Hot</v>
      </c>
      <c r="L26">
        <v>330</v>
      </c>
      <c r="M26" s="2">
        <v>372.18</v>
      </c>
    </row>
    <row r="27" spans="2:13" x14ac:dyDescent="0.2">
      <c r="B27" s="5">
        <v>38432.18123974745</v>
      </c>
      <c r="C27" s="5" t="str">
        <f t="shared" si="0"/>
        <v>Monday</v>
      </c>
      <c r="D27" s="5" t="str">
        <f>TEXT(B27,"MMMM")</f>
        <v>March</v>
      </c>
      <c r="E27" s="5" t="str">
        <f>IFERROR(VLOOKUP(D27,monthseason,2,FALSE),"unknown")</f>
        <v>Spring</v>
      </c>
      <c r="F27" t="s">
        <v>3</v>
      </c>
      <c r="G27" t="str">
        <f>IFERROR(VLOOKUP(F27,citycountry,2,FALSE),"unknown")</f>
        <v>Spain</v>
      </c>
      <c r="H27" t="s">
        <v>8</v>
      </c>
      <c r="I27" t="s">
        <v>26</v>
      </c>
      <c r="J27" t="s">
        <v>27</v>
      </c>
      <c r="K27" t="str">
        <f>IFERROR(VLOOKUP(J27,producttype,2,FALSE),"unknown")</f>
        <v>Cold</v>
      </c>
      <c r="L27">
        <v>610</v>
      </c>
      <c r="M27" s="2">
        <v>755.03</v>
      </c>
    </row>
    <row r="28" spans="2:13" x14ac:dyDescent="0.2">
      <c r="B28" s="5">
        <v>38464.191090280423</v>
      </c>
      <c r="C28" s="5" t="str">
        <f t="shared" si="0"/>
        <v>Friday</v>
      </c>
      <c r="D28" s="5" t="str">
        <f>TEXT(B28,"MMMM")</f>
        <v>April</v>
      </c>
      <c r="E28" s="5" t="str">
        <f>IFERROR(VLOOKUP(D28,monthseason,2,FALSE),"unknown")</f>
        <v>Spring</v>
      </c>
      <c r="F28" t="s">
        <v>3</v>
      </c>
      <c r="G28" t="str">
        <f>IFERROR(VLOOKUP(F28,citycountry,2,FALSE),"unknown")</f>
        <v>Spain</v>
      </c>
      <c r="H28" t="s">
        <v>8</v>
      </c>
      <c r="I28" t="s">
        <v>26</v>
      </c>
      <c r="J28" t="s">
        <v>27</v>
      </c>
      <c r="K28" t="str">
        <f>IFERROR(VLOOKUP(J28,producttype,2,FALSE),"unknown")</f>
        <v>Cold</v>
      </c>
      <c r="L28">
        <v>675</v>
      </c>
      <c r="M28" s="2">
        <v>868.74</v>
      </c>
    </row>
    <row r="29" spans="2:13" x14ac:dyDescent="0.2">
      <c r="B29" s="5">
        <v>38465.975864976594</v>
      </c>
      <c r="C29" s="5" t="str">
        <f t="shared" si="0"/>
        <v>Saturday</v>
      </c>
      <c r="D29" s="5" t="str">
        <f>TEXT(B29,"MMMM")</f>
        <v>April</v>
      </c>
      <c r="E29" s="5" t="str">
        <f>IFERROR(VLOOKUP(D29,monthseason,2,FALSE),"unknown")</f>
        <v>Spring</v>
      </c>
      <c r="F29" t="s">
        <v>3</v>
      </c>
      <c r="G29" t="str">
        <f>IFERROR(VLOOKUP(F29,citycountry,2,FALSE),"unknown")</f>
        <v>Spain</v>
      </c>
      <c r="H29" t="s">
        <v>10</v>
      </c>
      <c r="I29" t="s">
        <v>26</v>
      </c>
      <c r="J29" t="s">
        <v>27</v>
      </c>
      <c r="K29" t="str">
        <f>IFERROR(VLOOKUP(J29,producttype,2,FALSE),"unknown")</f>
        <v>Cold</v>
      </c>
      <c r="L29">
        <v>265</v>
      </c>
      <c r="M29" s="2">
        <v>329.64</v>
      </c>
    </row>
    <row r="30" spans="2:13" x14ac:dyDescent="0.2">
      <c r="B30" s="5">
        <v>38470.898064159257</v>
      </c>
      <c r="C30" s="5" t="str">
        <f t="shared" si="0"/>
        <v>Thursday</v>
      </c>
      <c r="D30" s="5" t="str">
        <f>TEXT(B30,"MMMM")</f>
        <v>April</v>
      </c>
      <c r="E30" s="5" t="str">
        <f>IFERROR(VLOOKUP(D30,monthseason,2,FALSE),"unknown")</f>
        <v>Spring</v>
      </c>
      <c r="F30" t="s">
        <v>3</v>
      </c>
      <c r="G30" t="str">
        <f>IFERROR(VLOOKUP(F30,citycountry,2,FALSE),"unknown")</f>
        <v>Spain</v>
      </c>
      <c r="H30" t="s">
        <v>23</v>
      </c>
      <c r="I30" t="s">
        <v>26</v>
      </c>
      <c r="J30" t="s">
        <v>38</v>
      </c>
      <c r="K30" t="str">
        <f>IFERROR(VLOOKUP(J30,producttype,2,FALSE),"unknown")</f>
        <v>Hot</v>
      </c>
      <c r="L30">
        <v>315</v>
      </c>
      <c r="M30" s="2">
        <v>2083.09</v>
      </c>
    </row>
    <row r="31" spans="2:13" x14ac:dyDescent="0.2">
      <c r="B31" s="5">
        <v>38491.883930444623</v>
      </c>
      <c r="C31" s="5" t="str">
        <f t="shared" si="0"/>
        <v>Thursday</v>
      </c>
      <c r="D31" s="5" t="str">
        <f>TEXT(B31,"MMMM")</f>
        <v>May</v>
      </c>
      <c r="E31" s="5" t="str">
        <f>IFERROR(VLOOKUP(D31,monthseason,2,FALSE),"unknown")</f>
        <v>Spring</v>
      </c>
      <c r="F31" t="s">
        <v>3</v>
      </c>
      <c r="G31" t="str">
        <f>IFERROR(VLOOKUP(F31,citycountry,2,FALSE),"unknown")</f>
        <v>Spain</v>
      </c>
      <c r="H31" t="s">
        <v>21</v>
      </c>
      <c r="I31" t="s">
        <v>26</v>
      </c>
      <c r="J31" t="s">
        <v>38</v>
      </c>
      <c r="K31" t="str">
        <f>IFERROR(VLOOKUP(J31,producttype,2,FALSE),"unknown")</f>
        <v>Hot</v>
      </c>
      <c r="L31">
        <v>70</v>
      </c>
      <c r="M31" s="2">
        <v>487.27</v>
      </c>
    </row>
    <row r="32" spans="2:13" x14ac:dyDescent="0.2">
      <c r="B32" s="5">
        <v>38481.361467594092</v>
      </c>
      <c r="C32" s="5" t="str">
        <f t="shared" si="0"/>
        <v>Monday</v>
      </c>
      <c r="D32" s="5" t="str">
        <f>TEXT(B32,"MMMM")</f>
        <v>May</v>
      </c>
      <c r="E32" s="5" t="str">
        <f>IFERROR(VLOOKUP(D32,monthseason,2,FALSE),"unknown")</f>
        <v>Spring</v>
      </c>
      <c r="F32" t="s">
        <v>3</v>
      </c>
      <c r="G32" t="str">
        <f>IFERROR(VLOOKUP(F32,citycountry,2,FALSE),"unknown")</f>
        <v>Spain</v>
      </c>
      <c r="H32" t="s">
        <v>7</v>
      </c>
      <c r="I32" t="s">
        <v>25</v>
      </c>
      <c r="J32" t="s">
        <v>43</v>
      </c>
      <c r="K32" t="str">
        <f>IFERROR(VLOOKUP(J32,producttype,2,FALSE),"unknown")</f>
        <v>Hot</v>
      </c>
      <c r="L32">
        <v>160</v>
      </c>
      <c r="M32" s="2">
        <v>503.11</v>
      </c>
    </row>
    <row r="33" spans="2:13" x14ac:dyDescent="0.2">
      <c r="B33" s="5">
        <v>38451.899413907253</v>
      </c>
      <c r="C33" s="5" t="str">
        <f t="shared" si="0"/>
        <v>Saturday</v>
      </c>
      <c r="D33" s="5" t="str">
        <f>TEXT(B33,"MMMM")</f>
        <v>April</v>
      </c>
      <c r="E33" s="5" t="str">
        <f>IFERROR(VLOOKUP(D33,monthseason,2,FALSE),"unknown")</f>
        <v>Spring</v>
      </c>
      <c r="F33" t="s">
        <v>3</v>
      </c>
      <c r="G33" t="str">
        <f>IFERROR(VLOOKUP(F33,citycountry,2,FALSE),"unknown")</f>
        <v>Spain</v>
      </c>
      <c r="H33" t="s">
        <v>24</v>
      </c>
      <c r="I33" t="s">
        <v>25</v>
      </c>
      <c r="J33" t="s">
        <v>28</v>
      </c>
      <c r="K33" t="str">
        <f>IFERROR(VLOOKUP(J33,producttype,2,FALSE),"unknown")</f>
        <v>Hot</v>
      </c>
      <c r="L33">
        <v>740</v>
      </c>
      <c r="M33" s="2">
        <v>2156.4699999999998</v>
      </c>
    </row>
    <row r="34" spans="2:13" x14ac:dyDescent="0.2">
      <c r="B34" s="5">
        <v>38461.017295312966</v>
      </c>
      <c r="C34" s="5" t="str">
        <f t="shared" si="0"/>
        <v>Tuesday</v>
      </c>
      <c r="D34" s="5" t="str">
        <f>TEXT(B34,"MMMM")</f>
        <v>April</v>
      </c>
      <c r="E34" s="5" t="str">
        <f>IFERROR(VLOOKUP(D34,monthseason,2,FALSE),"unknown")</f>
        <v>Spring</v>
      </c>
      <c r="F34" t="s">
        <v>3</v>
      </c>
      <c r="G34" t="str">
        <f>IFERROR(VLOOKUP(F34,citycountry,2,FALSE),"unknown")</f>
        <v>Spain</v>
      </c>
      <c r="H34" t="s">
        <v>10</v>
      </c>
      <c r="I34" t="s">
        <v>25</v>
      </c>
      <c r="J34" t="s">
        <v>28</v>
      </c>
      <c r="K34" t="str">
        <f>IFERROR(VLOOKUP(J34,producttype,2,FALSE),"unknown")</f>
        <v>Hot</v>
      </c>
      <c r="L34">
        <v>735</v>
      </c>
      <c r="M34" s="2">
        <v>1874.23</v>
      </c>
    </row>
    <row r="35" spans="2:13" x14ac:dyDescent="0.2">
      <c r="B35" s="5">
        <v>38456.448092118102</v>
      </c>
      <c r="C35" s="5" t="str">
        <f t="shared" si="0"/>
        <v>Thursday</v>
      </c>
      <c r="D35" s="5" t="str">
        <f>TEXT(B35,"MMMM")</f>
        <v>April</v>
      </c>
      <c r="E35" s="5" t="str">
        <f>IFERROR(VLOOKUP(D35,monthseason,2,FALSE),"unknown")</f>
        <v>Spring</v>
      </c>
      <c r="F35" t="s">
        <v>3</v>
      </c>
      <c r="G35" t="str">
        <f>IFERROR(VLOOKUP(F35,citycountry,2,FALSE),"unknown")</f>
        <v>Spain</v>
      </c>
      <c r="H35" t="s">
        <v>5</v>
      </c>
      <c r="I35" t="s">
        <v>25</v>
      </c>
      <c r="J35" t="s">
        <v>41</v>
      </c>
      <c r="K35" t="str">
        <f>IFERROR(VLOOKUP(J35,producttype,2,FALSE),"unknown")</f>
        <v>Hot</v>
      </c>
      <c r="L35">
        <v>795</v>
      </c>
      <c r="M35" s="2">
        <v>1502.46</v>
      </c>
    </row>
    <row r="36" spans="2:13" x14ac:dyDescent="0.2">
      <c r="B36" s="5">
        <v>38483.566367878469</v>
      </c>
      <c r="C36" s="5" t="str">
        <f t="shared" si="0"/>
        <v>Wednesday</v>
      </c>
      <c r="D36" s="5" t="str">
        <f>TEXT(B36,"MMMM")</f>
        <v>May</v>
      </c>
      <c r="E36" s="5" t="str">
        <f>IFERROR(VLOOKUP(D36,monthseason,2,FALSE),"unknown")</f>
        <v>Spring</v>
      </c>
      <c r="F36" t="s">
        <v>3</v>
      </c>
      <c r="G36" t="str">
        <f>IFERROR(VLOOKUP(F36,citycountry,2,FALSE),"unknown")</f>
        <v>Spain</v>
      </c>
      <c r="H36" t="s">
        <v>21</v>
      </c>
      <c r="I36" t="s">
        <v>25</v>
      </c>
      <c r="J36" t="s">
        <v>27</v>
      </c>
      <c r="K36" t="str">
        <f>IFERROR(VLOOKUP(J36,producttype,2,FALSE),"unknown")</f>
        <v>Cold</v>
      </c>
      <c r="L36">
        <v>145</v>
      </c>
      <c r="M36" s="2">
        <v>312.55</v>
      </c>
    </row>
    <row r="37" spans="2:13" x14ac:dyDescent="0.2">
      <c r="B37" s="5">
        <v>38514.841581975052</v>
      </c>
      <c r="C37" s="5" t="str">
        <f t="shared" si="0"/>
        <v>Saturday</v>
      </c>
      <c r="D37" s="5" t="str">
        <f>TEXT(B37,"MMMM")</f>
        <v>June</v>
      </c>
      <c r="E37" s="5" t="str">
        <f>IFERROR(VLOOKUP(D37,monthseason,2,FALSE),"unknown")</f>
        <v>Summer</v>
      </c>
      <c r="F37" t="s">
        <v>3</v>
      </c>
      <c r="G37" t="str">
        <f>IFERROR(VLOOKUP(F37,citycountry,2,FALSE),"unknown")</f>
        <v>Spain</v>
      </c>
      <c r="H37" t="s">
        <v>13</v>
      </c>
      <c r="I37" t="s">
        <v>25</v>
      </c>
      <c r="J37" t="s">
        <v>27</v>
      </c>
      <c r="K37" t="str">
        <f>IFERROR(VLOOKUP(J37,producttype,2,FALSE),"unknown")</f>
        <v>Cold</v>
      </c>
      <c r="L37">
        <v>35</v>
      </c>
      <c r="M37" s="2">
        <v>185.62</v>
      </c>
    </row>
    <row r="38" spans="2:13" x14ac:dyDescent="0.2">
      <c r="B38" s="5">
        <v>38525.6728969838</v>
      </c>
      <c r="C38" s="5" t="str">
        <f t="shared" si="0"/>
        <v>Wednesday</v>
      </c>
      <c r="D38" s="5" t="str">
        <f>TEXT(B38,"MMMM")</f>
        <v>June</v>
      </c>
      <c r="E38" s="5" t="str">
        <f>IFERROR(VLOOKUP(D38,monthseason,2,FALSE),"unknown")</f>
        <v>Summer</v>
      </c>
      <c r="F38" t="s">
        <v>3</v>
      </c>
      <c r="G38" t="str">
        <f>IFERROR(VLOOKUP(F38,citycountry,2,FALSE),"unknown")</f>
        <v>Spain</v>
      </c>
      <c r="H38" t="s">
        <v>24</v>
      </c>
      <c r="I38" t="s">
        <v>29</v>
      </c>
      <c r="J38" t="s">
        <v>39</v>
      </c>
      <c r="K38" t="str">
        <f>IFERROR(VLOOKUP(J38,producttype,2,FALSE),"unknown")</f>
        <v>Cold</v>
      </c>
      <c r="L38">
        <v>970</v>
      </c>
      <c r="M38" s="2">
        <v>1156.69</v>
      </c>
    </row>
    <row r="39" spans="2:13" x14ac:dyDescent="0.2">
      <c r="B39" s="5">
        <v>38489.548997706501</v>
      </c>
      <c r="C39" s="5" t="str">
        <f t="shared" si="0"/>
        <v>Tuesday</v>
      </c>
      <c r="D39" s="5" t="str">
        <f>TEXT(B39,"MMMM")</f>
        <v>May</v>
      </c>
      <c r="E39" s="5" t="str">
        <f>IFERROR(VLOOKUP(D39,monthseason,2,FALSE),"unknown")</f>
        <v>Spring</v>
      </c>
      <c r="F39" t="s">
        <v>3</v>
      </c>
      <c r="G39" t="str">
        <f>IFERROR(VLOOKUP(F39,citycountry,2,FALSE),"unknown")</f>
        <v>Spain</v>
      </c>
      <c r="H39" t="s">
        <v>20</v>
      </c>
      <c r="I39" t="s">
        <v>29</v>
      </c>
      <c r="J39" t="s">
        <v>43</v>
      </c>
      <c r="K39" t="str">
        <f>IFERROR(VLOOKUP(J39,producttype,2,FALSE),"unknown")</f>
        <v>Hot</v>
      </c>
      <c r="L39">
        <v>445</v>
      </c>
      <c r="M39" s="2">
        <v>2433.7399999999998</v>
      </c>
    </row>
    <row r="40" spans="2:13" x14ac:dyDescent="0.2">
      <c r="B40" s="5">
        <v>38418.260564735254</v>
      </c>
      <c r="C40" s="5" t="str">
        <f t="shared" si="0"/>
        <v>Monday</v>
      </c>
      <c r="D40" s="5" t="str">
        <f>TEXT(B40,"MMMM")</f>
        <v>March</v>
      </c>
      <c r="E40" s="5" t="str">
        <f>IFERROR(VLOOKUP(D40,monthseason,2,FALSE),"unknown")</f>
        <v>Spring</v>
      </c>
      <c r="F40" t="s">
        <v>3</v>
      </c>
      <c r="G40" t="str">
        <f>IFERROR(VLOOKUP(F40,citycountry,2,FALSE),"unknown")</f>
        <v>Spain</v>
      </c>
      <c r="H40" t="s">
        <v>15</v>
      </c>
      <c r="I40" t="s">
        <v>29</v>
      </c>
      <c r="J40" t="s">
        <v>28</v>
      </c>
      <c r="K40" t="str">
        <f>IFERROR(VLOOKUP(J40,producttype,2,FALSE),"unknown")</f>
        <v>Hot</v>
      </c>
      <c r="L40">
        <v>190</v>
      </c>
      <c r="M40" s="2">
        <v>825.48</v>
      </c>
    </row>
    <row r="41" spans="2:13" x14ac:dyDescent="0.2">
      <c r="B41" s="5">
        <v>38481.218484856006</v>
      </c>
      <c r="C41" s="5" t="str">
        <f t="shared" si="0"/>
        <v>Monday</v>
      </c>
      <c r="D41" s="5" t="str">
        <f>TEXT(B41,"MMMM")</f>
        <v>May</v>
      </c>
      <c r="E41" s="5" t="str">
        <f>IFERROR(VLOOKUP(D41,monthseason,2,FALSE),"unknown")</f>
        <v>Spring</v>
      </c>
      <c r="F41" t="s">
        <v>3</v>
      </c>
      <c r="G41" t="str">
        <f>IFERROR(VLOOKUP(F41,citycountry,2,FALSE),"unknown")</f>
        <v>Spain</v>
      </c>
      <c r="H41" t="s">
        <v>5</v>
      </c>
      <c r="I41" t="s">
        <v>29</v>
      </c>
      <c r="J41" t="s">
        <v>41</v>
      </c>
      <c r="K41" t="str">
        <f>IFERROR(VLOOKUP(J41,producttype,2,FALSE),"unknown")</f>
        <v>Hot</v>
      </c>
      <c r="L41">
        <v>860</v>
      </c>
      <c r="M41" s="2">
        <v>2613.4499999999998</v>
      </c>
    </row>
    <row r="42" spans="2:13" x14ac:dyDescent="0.2">
      <c r="B42" s="5">
        <v>38492.134086842547</v>
      </c>
      <c r="C42" s="5" t="str">
        <f t="shared" si="0"/>
        <v>Friday</v>
      </c>
      <c r="D42" s="5" t="str">
        <f>TEXT(B42,"MMMM")</f>
        <v>May</v>
      </c>
      <c r="E42" s="5" t="str">
        <f>IFERROR(VLOOKUP(D42,monthseason,2,FALSE),"unknown")</f>
        <v>Spring</v>
      </c>
      <c r="F42" t="s">
        <v>3</v>
      </c>
      <c r="G42" t="str">
        <f>IFERROR(VLOOKUP(F42,citycountry,2,FALSE),"unknown")</f>
        <v>Spain</v>
      </c>
      <c r="H42" t="s">
        <v>14</v>
      </c>
      <c r="I42" t="s">
        <v>29</v>
      </c>
      <c r="J42" t="s">
        <v>41</v>
      </c>
      <c r="K42" t="str">
        <f>IFERROR(VLOOKUP(J42,producttype,2,FALSE),"unknown")</f>
        <v>Hot</v>
      </c>
      <c r="L42">
        <v>150</v>
      </c>
      <c r="M42" s="2">
        <v>491.44</v>
      </c>
    </row>
    <row r="43" spans="2:13" x14ac:dyDescent="0.2">
      <c r="B43" s="5">
        <v>38457.813629117758</v>
      </c>
      <c r="C43" s="5" t="str">
        <f t="shared" si="0"/>
        <v>Friday</v>
      </c>
      <c r="D43" s="5" t="str">
        <f>TEXT(B43,"MMMM")</f>
        <v>April</v>
      </c>
      <c r="E43" s="5" t="str">
        <f>IFERROR(VLOOKUP(D43,monthseason,2,FALSE),"unknown")</f>
        <v>Spring</v>
      </c>
      <c r="F43" t="s">
        <v>3</v>
      </c>
      <c r="G43" t="str">
        <f>IFERROR(VLOOKUP(F43,citycountry,2,FALSE),"unknown")</f>
        <v>Spain</v>
      </c>
      <c r="H43" t="s">
        <v>11</v>
      </c>
      <c r="I43" t="s">
        <v>29</v>
      </c>
      <c r="J43" t="s">
        <v>27</v>
      </c>
      <c r="K43" t="str">
        <f>IFERROR(VLOOKUP(J43,producttype,2,FALSE),"unknown")</f>
        <v>Cold</v>
      </c>
      <c r="L43">
        <v>945</v>
      </c>
      <c r="M43" s="2">
        <v>3345.59</v>
      </c>
    </row>
    <row r="44" spans="2:13" x14ac:dyDescent="0.2">
      <c r="B44" s="5">
        <v>38514.040576122628</v>
      </c>
      <c r="C44" s="5" t="str">
        <f t="shared" si="0"/>
        <v>Saturday</v>
      </c>
      <c r="D44" s="5" t="str">
        <f>TEXT(B44,"MMMM")</f>
        <v>June</v>
      </c>
      <c r="E44" s="5" t="str">
        <f>IFERROR(VLOOKUP(D44,monthseason,2,FALSE),"unknown")</f>
        <v>Summer</v>
      </c>
      <c r="F44" t="s">
        <v>3</v>
      </c>
      <c r="G44" t="str">
        <f>IFERROR(VLOOKUP(F44,citycountry,2,FALSE),"unknown")</f>
        <v>Spain</v>
      </c>
      <c r="H44" t="s">
        <v>19</v>
      </c>
      <c r="I44" t="s">
        <v>29</v>
      </c>
      <c r="J44" t="s">
        <v>27</v>
      </c>
      <c r="K44" t="str">
        <f>IFERROR(VLOOKUP(J44,producttype,2,FALSE),"unknown")</f>
        <v>Cold</v>
      </c>
      <c r="L44">
        <v>785</v>
      </c>
      <c r="M44" s="2">
        <v>3312.45</v>
      </c>
    </row>
    <row r="45" spans="2:13" x14ac:dyDescent="0.2">
      <c r="B45" s="5">
        <v>38520.595139879057</v>
      </c>
      <c r="C45" s="5" t="str">
        <f t="shared" si="0"/>
        <v>Friday</v>
      </c>
      <c r="D45" s="5" t="str">
        <f>TEXT(B45,"MMMM")</f>
        <v>June</v>
      </c>
      <c r="E45" s="5" t="str">
        <f>IFERROR(VLOOKUP(D45,monthseason,2,FALSE),"unknown")</f>
        <v>Summer</v>
      </c>
      <c r="F45" t="s">
        <v>3</v>
      </c>
      <c r="G45" t="str">
        <f>IFERROR(VLOOKUP(F45,citycountry,2,FALSE),"unknown")</f>
        <v>Spain</v>
      </c>
      <c r="H45" t="s">
        <v>15</v>
      </c>
      <c r="I45" t="s">
        <v>29</v>
      </c>
      <c r="J45" t="s">
        <v>27</v>
      </c>
      <c r="K45" t="str">
        <f>IFERROR(VLOOKUP(J45,producttype,2,FALSE),"unknown")</f>
        <v>Cold</v>
      </c>
      <c r="L45">
        <v>140</v>
      </c>
      <c r="M45" s="2">
        <v>474.99</v>
      </c>
    </row>
    <row r="46" spans="2:13" x14ac:dyDescent="0.2">
      <c r="B46" s="5">
        <v>38468.243602428724</v>
      </c>
      <c r="C46" s="5" t="str">
        <f t="shared" si="0"/>
        <v>Tuesday</v>
      </c>
      <c r="D46" s="5" t="str">
        <f>TEXT(B46,"MMMM")</f>
        <v>April</v>
      </c>
      <c r="E46" s="5" t="str">
        <f>IFERROR(VLOOKUP(D46,monthseason,2,FALSE),"unknown")</f>
        <v>Spring</v>
      </c>
      <c r="F46" t="s">
        <v>3</v>
      </c>
      <c r="G46" t="str">
        <f>IFERROR(VLOOKUP(F46,citycountry,2,FALSE),"unknown")</f>
        <v>Spain</v>
      </c>
      <c r="H46" t="s">
        <v>9</v>
      </c>
      <c r="I46" t="s">
        <v>29</v>
      </c>
      <c r="J46" t="s">
        <v>38</v>
      </c>
      <c r="K46" t="str">
        <f>IFERROR(VLOOKUP(J46,producttype,2,FALSE),"unknown")</f>
        <v>Hot</v>
      </c>
      <c r="L46">
        <v>140</v>
      </c>
      <c r="M46" s="2">
        <v>665.84</v>
      </c>
    </row>
    <row r="47" spans="2:13" x14ac:dyDescent="0.2">
      <c r="B47" s="5">
        <v>38489.075914604022</v>
      </c>
      <c r="C47" s="5" t="str">
        <f t="shared" si="0"/>
        <v>Tuesday</v>
      </c>
      <c r="D47" s="5" t="str">
        <f>TEXT(B47,"MMMM")</f>
        <v>May</v>
      </c>
      <c r="E47" s="5" t="str">
        <f>IFERROR(VLOOKUP(D47,monthseason,2,FALSE),"unknown")</f>
        <v>Spring</v>
      </c>
      <c r="F47" t="s">
        <v>4</v>
      </c>
      <c r="G47" t="str">
        <f>IFERROR(VLOOKUP(F47,citycountry,2,FALSE),"unknown")</f>
        <v>Portugal</v>
      </c>
      <c r="H47" t="s">
        <v>12</v>
      </c>
      <c r="I47" t="s">
        <v>35</v>
      </c>
      <c r="J47" t="s">
        <v>39</v>
      </c>
      <c r="K47" t="str">
        <f>IFERROR(VLOOKUP(J47,producttype,2,FALSE),"unknown")</f>
        <v>Cold</v>
      </c>
      <c r="L47">
        <v>885</v>
      </c>
      <c r="M47" s="2">
        <v>774.86</v>
      </c>
    </row>
    <row r="48" spans="2:13" x14ac:dyDescent="0.2">
      <c r="B48" s="5">
        <v>38566.841863581067</v>
      </c>
      <c r="C48" s="5" t="str">
        <f t="shared" si="0"/>
        <v>Tuesday</v>
      </c>
      <c r="D48" s="5" t="str">
        <f>TEXT(B48,"MMMM")</f>
        <v>August</v>
      </c>
      <c r="E48" s="5" t="str">
        <f>IFERROR(VLOOKUP(D48,monthseason,2,FALSE),"unknown")</f>
        <v>Summer</v>
      </c>
      <c r="F48" t="s">
        <v>4</v>
      </c>
      <c r="G48" t="str">
        <f>IFERROR(VLOOKUP(F48,citycountry,2,FALSE),"unknown")</f>
        <v>Portugal</v>
      </c>
      <c r="H48" t="s">
        <v>14</v>
      </c>
      <c r="I48" t="s">
        <v>35</v>
      </c>
      <c r="J48" t="s">
        <v>39</v>
      </c>
      <c r="K48" t="str">
        <f>IFERROR(VLOOKUP(J48,producttype,2,FALSE),"unknown")</f>
        <v>Cold</v>
      </c>
      <c r="L48">
        <v>640</v>
      </c>
      <c r="M48" s="2">
        <v>1310.98</v>
      </c>
    </row>
    <row r="49" spans="2:13" x14ac:dyDescent="0.2">
      <c r="B49" s="5">
        <v>38481.040469011852</v>
      </c>
      <c r="C49" s="5" t="str">
        <f t="shared" si="0"/>
        <v>Monday</v>
      </c>
      <c r="D49" s="5" t="str">
        <f>TEXT(B49,"MMMM")</f>
        <v>May</v>
      </c>
      <c r="E49" s="5" t="str">
        <f>IFERROR(VLOOKUP(D49,monthseason,2,FALSE),"unknown")</f>
        <v>Spring</v>
      </c>
      <c r="F49" t="s">
        <v>4</v>
      </c>
      <c r="G49" t="str">
        <f>IFERROR(VLOOKUP(F49,citycountry,2,FALSE),"unknown")</f>
        <v>Portugal</v>
      </c>
      <c r="H49" t="s">
        <v>12</v>
      </c>
      <c r="I49" t="s">
        <v>35</v>
      </c>
      <c r="J49" t="s">
        <v>40</v>
      </c>
      <c r="K49" t="str">
        <f>IFERROR(VLOOKUP(J49,producttype,2,FALSE),"unknown")</f>
        <v>Hot</v>
      </c>
      <c r="L49">
        <v>265</v>
      </c>
      <c r="M49" s="2">
        <v>492.34</v>
      </c>
    </row>
    <row r="50" spans="2:13" x14ac:dyDescent="0.2">
      <c r="B50" s="5">
        <v>38556.158254052323</v>
      </c>
      <c r="C50" s="5" t="str">
        <f t="shared" si="0"/>
        <v>Saturday</v>
      </c>
      <c r="D50" s="5" t="str">
        <f>TEXT(B50,"MMMM")</f>
        <v>July</v>
      </c>
      <c r="E50" s="5" t="str">
        <f>IFERROR(VLOOKUP(D50,monthseason,2,FALSE),"unknown")</f>
        <v>Summer</v>
      </c>
      <c r="F50" t="s">
        <v>4</v>
      </c>
      <c r="G50" t="str">
        <f>IFERROR(VLOOKUP(F50,citycountry,2,FALSE),"unknown")</f>
        <v>Portugal</v>
      </c>
      <c r="H50" t="s">
        <v>21</v>
      </c>
      <c r="I50" t="s">
        <v>35</v>
      </c>
      <c r="J50" t="s">
        <v>28</v>
      </c>
      <c r="K50" t="str">
        <f>IFERROR(VLOOKUP(J50,producttype,2,FALSE),"unknown")</f>
        <v>Hot</v>
      </c>
      <c r="L50">
        <v>865</v>
      </c>
      <c r="M50" s="2">
        <v>3458.58</v>
      </c>
    </row>
    <row r="51" spans="2:13" x14ac:dyDescent="0.2">
      <c r="B51" s="5">
        <v>38511.173373044294</v>
      </c>
      <c r="C51" s="5" t="str">
        <f t="shared" si="0"/>
        <v>Wednesday</v>
      </c>
      <c r="D51" s="5" t="str">
        <f>TEXT(B51,"MMMM")</f>
        <v>June</v>
      </c>
      <c r="E51" s="5" t="str">
        <f>IFERROR(VLOOKUP(D51,monthseason,2,FALSE),"unknown")</f>
        <v>Summer</v>
      </c>
      <c r="F51" t="s">
        <v>4</v>
      </c>
      <c r="G51" t="str">
        <f>IFERROR(VLOOKUP(F51,citycountry,2,FALSE),"unknown")</f>
        <v>Portugal</v>
      </c>
      <c r="H51" t="s">
        <v>8</v>
      </c>
      <c r="I51" t="s">
        <v>35</v>
      </c>
      <c r="J51" t="s">
        <v>27</v>
      </c>
      <c r="K51" t="str">
        <f>IFERROR(VLOOKUP(J51,producttype,2,FALSE),"unknown")</f>
        <v>Cold</v>
      </c>
      <c r="L51">
        <v>975</v>
      </c>
      <c r="M51" s="2">
        <v>4726.1400000000003</v>
      </c>
    </row>
    <row r="52" spans="2:13" x14ac:dyDescent="0.2">
      <c r="B52" s="5">
        <v>38544.512992020369</v>
      </c>
      <c r="C52" s="5" t="str">
        <f t="shared" si="0"/>
        <v>Monday</v>
      </c>
      <c r="D52" s="5" t="str">
        <f>TEXT(B52,"MMMM")</f>
        <v>July</v>
      </c>
      <c r="E52" s="5" t="str">
        <f>IFERROR(VLOOKUP(D52,monthseason,2,FALSE),"unknown")</f>
        <v>Summer</v>
      </c>
      <c r="F52" t="s">
        <v>4</v>
      </c>
      <c r="G52" t="str">
        <f>IFERROR(VLOOKUP(F52,citycountry,2,FALSE),"unknown")</f>
        <v>Portugal</v>
      </c>
      <c r="H52" t="s">
        <v>5</v>
      </c>
      <c r="I52" t="s">
        <v>35</v>
      </c>
      <c r="J52" t="s">
        <v>27</v>
      </c>
      <c r="K52" t="str">
        <f>IFERROR(VLOOKUP(J52,producttype,2,FALSE),"unknown")</f>
        <v>Cold</v>
      </c>
      <c r="L52">
        <v>285</v>
      </c>
      <c r="M52" s="2">
        <v>2074.8200000000002</v>
      </c>
    </row>
    <row r="53" spans="2:13" x14ac:dyDescent="0.2">
      <c r="B53" s="5">
        <v>38527.667287913289</v>
      </c>
      <c r="C53" s="5" t="str">
        <f t="shared" si="0"/>
        <v>Friday</v>
      </c>
      <c r="D53" s="5" t="str">
        <f>TEXT(B53,"MMMM")</f>
        <v>June</v>
      </c>
      <c r="E53" s="5" t="str">
        <f>IFERROR(VLOOKUP(D53,monthseason,2,FALSE),"unknown")</f>
        <v>Summer</v>
      </c>
      <c r="F53" t="s">
        <v>4</v>
      </c>
      <c r="G53" t="str">
        <f>IFERROR(VLOOKUP(F53,citycountry,2,FALSE),"unknown")</f>
        <v>Portugal</v>
      </c>
      <c r="H53" t="s">
        <v>7</v>
      </c>
      <c r="I53" t="s">
        <v>26</v>
      </c>
      <c r="J53" t="s">
        <v>39</v>
      </c>
      <c r="K53" t="str">
        <f>IFERROR(VLOOKUP(J53,producttype,2,FALSE),"unknown")</f>
        <v>Cold</v>
      </c>
      <c r="L53">
        <v>245</v>
      </c>
      <c r="M53" s="2">
        <v>103.46</v>
      </c>
    </row>
    <row r="54" spans="2:13" x14ac:dyDescent="0.2">
      <c r="B54" s="5">
        <v>38546.067788723485</v>
      </c>
      <c r="C54" s="5" t="str">
        <f t="shared" si="0"/>
        <v>Wednesday</v>
      </c>
      <c r="D54" s="5" t="str">
        <f>TEXT(B54,"MMMM")</f>
        <v>July</v>
      </c>
      <c r="E54" s="5" t="str">
        <f>IFERROR(VLOOKUP(D54,monthseason,2,FALSE),"unknown")</f>
        <v>Summer</v>
      </c>
      <c r="F54" t="s">
        <v>4</v>
      </c>
      <c r="G54" t="str">
        <f>IFERROR(VLOOKUP(F54,citycountry,2,FALSE),"unknown")</f>
        <v>Portugal</v>
      </c>
      <c r="H54" t="s">
        <v>23</v>
      </c>
      <c r="I54" t="s">
        <v>26</v>
      </c>
      <c r="J54" t="s">
        <v>39</v>
      </c>
      <c r="K54" t="str">
        <f>IFERROR(VLOOKUP(J54,producttype,2,FALSE),"unknown")</f>
        <v>Cold</v>
      </c>
      <c r="L54">
        <v>925</v>
      </c>
      <c r="M54" s="2">
        <v>1077.5</v>
      </c>
    </row>
    <row r="55" spans="2:13" x14ac:dyDescent="0.2">
      <c r="B55" s="5">
        <v>38577.741961761159</v>
      </c>
      <c r="C55" s="5" t="str">
        <f t="shared" si="0"/>
        <v>Saturday</v>
      </c>
      <c r="D55" s="5" t="str">
        <f>TEXT(B55,"MMMM")</f>
        <v>August</v>
      </c>
      <c r="E55" s="5" t="str">
        <f>IFERROR(VLOOKUP(D55,monthseason,2,FALSE),"unknown")</f>
        <v>Summer</v>
      </c>
      <c r="F55" t="s">
        <v>4</v>
      </c>
      <c r="G55" t="str">
        <f>IFERROR(VLOOKUP(F55,citycountry,2,FALSE),"unknown")</f>
        <v>Portugal</v>
      </c>
      <c r="H55" t="s">
        <v>21</v>
      </c>
      <c r="I55" t="s">
        <v>26</v>
      </c>
      <c r="J55" t="s">
        <v>39</v>
      </c>
      <c r="K55" t="str">
        <f>IFERROR(VLOOKUP(J55,producttype,2,FALSE),"unknown")</f>
        <v>Cold</v>
      </c>
      <c r="L55">
        <v>950</v>
      </c>
      <c r="M55" s="2">
        <v>4553.46</v>
      </c>
    </row>
    <row r="56" spans="2:13" x14ac:dyDescent="0.2">
      <c r="B56" s="5">
        <v>38476.497535675662</v>
      </c>
      <c r="C56" s="5" t="str">
        <f t="shared" si="0"/>
        <v>Wednesday</v>
      </c>
      <c r="D56" s="5" t="str">
        <f>TEXT(B56,"MMMM")</f>
        <v>May</v>
      </c>
      <c r="E56" s="5" t="str">
        <f>IFERROR(VLOOKUP(D56,monthseason,2,FALSE),"unknown")</f>
        <v>Spring</v>
      </c>
      <c r="F56" t="s">
        <v>4</v>
      </c>
      <c r="G56" t="str">
        <f>IFERROR(VLOOKUP(F56,citycountry,2,FALSE),"unknown")</f>
        <v>Portugal</v>
      </c>
      <c r="H56" t="s">
        <v>23</v>
      </c>
      <c r="I56" t="s">
        <v>26</v>
      </c>
      <c r="J56" t="s">
        <v>41</v>
      </c>
      <c r="K56" t="str">
        <f>IFERROR(VLOOKUP(J56,producttype,2,FALSE),"unknown")</f>
        <v>Hot</v>
      </c>
      <c r="L56">
        <v>825</v>
      </c>
      <c r="M56" s="2">
        <v>1015.98</v>
      </c>
    </row>
    <row r="57" spans="2:13" x14ac:dyDescent="0.2">
      <c r="B57" s="5">
        <v>38529.399083148186</v>
      </c>
      <c r="C57" s="5" t="str">
        <f t="shared" si="0"/>
        <v>Sunday</v>
      </c>
      <c r="D57" s="5" t="str">
        <f>TEXT(B57,"MMMM")</f>
        <v>June</v>
      </c>
      <c r="E57" s="5" t="str">
        <f>IFERROR(VLOOKUP(D57,monthseason,2,FALSE),"unknown")</f>
        <v>Summer</v>
      </c>
      <c r="F57" t="s">
        <v>4</v>
      </c>
      <c r="G57" t="str">
        <f>IFERROR(VLOOKUP(F57,citycountry,2,FALSE),"unknown")</f>
        <v>Portugal</v>
      </c>
      <c r="H57" t="s">
        <v>12</v>
      </c>
      <c r="I57" t="s">
        <v>26</v>
      </c>
      <c r="J57" t="s">
        <v>27</v>
      </c>
      <c r="K57" t="str">
        <f>IFERROR(VLOOKUP(J57,producttype,2,FALSE),"unknown")</f>
        <v>Cold</v>
      </c>
      <c r="L57">
        <v>305</v>
      </c>
      <c r="M57" s="2">
        <v>401.74</v>
      </c>
    </row>
    <row r="58" spans="2:13" x14ac:dyDescent="0.2">
      <c r="B58" s="5">
        <v>38498.760813206914</v>
      </c>
      <c r="C58" s="5" t="str">
        <f t="shared" si="0"/>
        <v>Thursday</v>
      </c>
      <c r="D58" s="5" t="str">
        <f>TEXT(B58,"MMMM")</f>
        <v>May</v>
      </c>
      <c r="E58" s="5" t="str">
        <f>IFERROR(VLOOKUP(D58,monthseason,2,FALSE),"unknown")</f>
        <v>Spring</v>
      </c>
      <c r="F58" t="s">
        <v>4</v>
      </c>
      <c r="G58" t="str">
        <f>IFERROR(VLOOKUP(F58,citycountry,2,FALSE),"unknown")</f>
        <v>Portugal</v>
      </c>
      <c r="H58" t="s">
        <v>18</v>
      </c>
      <c r="I58" t="s">
        <v>25</v>
      </c>
      <c r="J58" t="s">
        <v>39</v>
      </c>
      <c r="K58" t="str">
        <f>IFERROR(VLOOKUP(J58,producttype,2,FALSE),"unknown")</f>
        <v>Cold</v>
      </c>
      <c r="L58">
        <v>580</v>
      </c>
      <c r="M58" s="2">
        <v>535.36</v>
      </c>
    </row>
    <row r="59" spans="2:13" x14ac:dyDescent="0.2">
      <c r="B59" s="5">
        <v>38525.360252248007</v>
      </c>
      <c r="C59" s="5" t="str">
        <f t="shared" si="0"/>
        <v>Wednesday</v>
      </c>
      <c r="D59" s="5" t="str">
        <f>TEXT(B59,"MMMM")</f>
        <v>June</v>
      </c>
      <c r="E59" s="5" t="str">
        <f>IFERROR(VLOOKUP(D59,monthseason,2,FALSE),"unknown")</f>
        <v>Summer</v>
      </c>
      <c r="F59" t="s">
        <v>4</v>
      </c>
      <c r="G59" t="str">
        <f>IFERROR(VLOOKUP(F59,citycountry,2,FALSE),"unknown")</f>
        <v>Portugal</v>
      </c>
      <c r="H59" t="s">
        <v>9</v>
      </c>
      <c r="I59" t="s">
        <v>25</v>
      </c>
      <c r="J59" t="s">
        <v>39</v>
      </c>
      <c r="K59" t="str">
        <f>IFERROR(VLOOKUP(J59,producttype,2,FALSE),"unknown")</f>
        <v>Cold</v>
      </c>
      <c r="L59">
        <v>505</v>
      </c>
      <c r="M59" s="2">
        <v>2313.0100000000002</v>
      </c>
    </row>
    <row r="60" spans="2:13" x14ac:dyDescent="0.2">
      <c r="B60" s="5">
        <v>38532.091557279302</v>
      </c>
      <c r="C60" s="5" t="str">
        <f t="shared" si="0"/>
        <v>Wednesday</v>
      </c>
      <c r="D60" s="5" t="str">
        <f>TEXT(B60,"MMMM")</f>
        <v>June</v>
      </c>
      <c r="E60" s="5" t="str">
        <f>IFERROR(VLOOKUP(D60,monthseason,2,FALSE),"unknown")</f>
        <v>Summer</v>
      </c>
      <c r="F60" t="s">
        <v>4</v>
      </c>
      <c r="G60" t="str">
        <f>IFERROR(VLOOKUP(F60,citycountry,2,FALSE),"unknown")</f>
        <v>Portugal</v>
      </c>
      <c r="H60" t="s">
        <v>17</v>
      </c>
      <c r="I60" t="s">
        <v>25</v>
      </c>
      <c r="J60" t="s">
        <v>39</v>
      </c>
      <c r="K60" t="str">
        <f>IFERROR(VLOOKUP(J60,producttype,2,FALSE),"unknown")</f>
        <v>Cold</v>
      </c>
      <c r="L60">
        <v>440</v>
      </c>
      <c r="M60" s="2">
        <v>1293.47</v>
      </c>
    </row>
    <row r="61" spans="2:13" x14ac:dyDescent="0.2">
      <c r="B61" s="5">
        <v>38571.20580097779</v>
      </c>
      <c r="C61" s="5" t="str">
        <f t="shared" si="0"/>
        <v>Sunday</v>
      </c>
      <c r="D61" s="5" t="str">
        <f>TEXT(B61,"MMMM")</f>
        <v>August</v>
      </c>
      <c r="E61" s="5" t="str">
        <f>IFERROR(VLOOKUP(D61,monthseason,2,FALSE),"unknown")</f>
        <v>Summer</v>
      </c>
      <c r="F61" t="s">
        <v>4</v>
      </c>
      <c r="G61" t="str">
        <f>IFERROR(VLOOKUP(F61,citycountry,2,FALSE),"unknown")</f>
        <v>Portugal</v>
      </c>
      <c r="H61" t="s">
        <v>9</v>
      </c>
      <c r="I61" t="s">
        <v>25</v>
      </c>
      <c r="J61" t="s">
        <v>39</v>
      </c>
      <c r="K61" t="str">
        <f>IFERROR(VLOOKUP(J61,producttype,2,FALSE),"unknown")</f>
        <v>Cold</v>
      </c>
      <c r="L61">
        <v>285</v>
      </c>
      <c r="M61" s="2">
        <v>198.82</v>
      </c>
    </row>
    <row r="62" spans="2:13" x14ac:dyDescent="0.2">
      <c r="B62" s="5">
        <v>38504.074215622015</v>
      </c>
      <c r="C62" s="5" t="str">
        <f t="shared" si="0"/>
        <v>Wednesday</v>
      </c>
      <c r="D62" s="5" t="str">
        <f>TEXT(B62,"MMMM")</f>
        <v>June</v>
      </c>
      <c r="E62" s="5" t="str">
        <f>IFERROR(VLOOKUP(D62,monthseason,2,FALSE),"unknown")</f>
        <v>Summer</v>
      </c>
      <c r="F62" t="s">
        <v>4</v>
      </c>
      <c r="G62" t="str">
        <f>IFERROR(VLOOKUP(F62,citycountry,2,FALSE),"unknown")</f>
        <v>Portugal</v>
      </c>
      <c r="H62" t="s">
        <v>18</v>
      </c>
      <c r="I62" t="s">
        <v>25</v>
      </c>
      <c r="J62" t="s">
        <v>43</v>
      </c>
      <c r="K62" t="str">
        <f>IFERROR(VLOOKUP(J62,producttype,2,FALSE),"unknown")</f>
        <v>Hot</v>
      </c>
      <c r="L62">
        <v>140</v>
      </c>
      <c r="M62" s="2">
        <v>718.39</v>
      </c>
    </row>
    <row r="63" spans="2:13" x14ac:dyDescent="0.2">
      <c r="B63" s="5">
        <v>38563.767534189305</v>
      </c>
      <c r="C63" s="5" t="str">
        <f t="shared" si="0"/>
        <v>Saturday</v>
      </c>
      <c r="D63" s="5" t="str">
        <f>TEXT(B63,"MMMM")</f>
        <v>July</v>
      </c>
      <c r="E63" s="5" t="str">
        <f>IFERROR(VLOOKUP(D63,monthseason,2,FALSE),"unknown")</f>
        <v>Summer</v>
      </c>
      <c r="F63" t="s">
        <v>4</v>
      </c>
      <c r="G63" t="str">
        <f>IFERROR(VLOOKUP(F63,citycountry,2,FALSE),"unknown")</f>
        <v>Portugal</v>
      </c>
      <c r="H63" t="s">
        <v>20</v>
      </c>
      <c r="I63" t="s">
        <v>25</v>
      </c>
      <c r="J63" t="s">
        <v>43</v>
      </c>
      <c r="K63" t="str">
        <f>IFERROR(VLOOKUP(J63,producttype,2,FALSE),"unknown")</f>
        <v>Hot</v>
      </c>
      <c r="L63">
        <v>685</v>
      </c>
      <c r="M63" s="2">
        <v>2343.4899999999998</v>
      </c>
    </row>
    <row r="64" spans="2:13" x14ac:dyDescent="0.2">
      <c r="B64" s="5">
        <v>38517.388818623673</v>
      </c>
      <c r="C64" s="5" t="str">
        <f t="shared" si="0"/>
        <v>Tuesday</v>
      </c>
      <c r="D64" s="5" t="str">
        <f>TEXT(B64,"MMMM")</f>
        <v>June</v>
      </c>
      <c r="E64" s="5" t="str">
        <f>IFERROR(VLOOKUP(D64,monthseason,2,FALSE),"unknown")</f>
        <v>Summer</v>
      </c>
      <c r="F64" t="s">
        <v>4</v>
      </c>
      <c r="G64" t="str">
        <f>IFERROR(VLOOKUP(F64,citycountry,2,FALSE),"unknown")</f>
        <v>Portugal</v>
      </c>
      <c r="H64" t="s">
        <v>7</v>
      </c>
      <c r="I64" t="s">
        <v>25</v>
      </c>
      <c r="J64" t="s">
        <v>28</v>
      </c>
      <c r="K64" t="str">
        <f>IFERROR(VLOOKUP(J64,producttype,2,FALSE),"unknown")</f>
        <v>Hot</v>
      </c>
      <c r="L64">
        <v>95</v>
      </c>
      <c r="M64" s="2">
        <v>246</v>
      </c>
    </row>
    <row r="65" spans="2:13" x14ac:dyDescent="0.2">
      <c r="B65" s="5">
        <v>38590.531868099577</v>
      </c>
      <c r="C65" s="5" t="str">
        <f t="shared" si="0"/>
        <v>Friday</v>
      </c>
      <c r="D65" s="5" t="str">
        <f>TEXT(B65,"MMMM")</f>
        <v>August</v>
      </c>
      <c r="E65" s="5" t="str">
        <f>IFERROR(VLOOKUP(D65,monthseason,2,FALSE),"unknown")</f>
        <v>Summer</v>
      </c>
      <c r="F65" t="s">
        <v>4</v>
      </c>
      <c r="G65" t="str">
        <f>IFERROR(VLOOKUP(F65,citycountry,2,FALSE),"unknown")</f>
        <v>Portugal</v>
      </c>
      <c r="H65" t="s">
        <v>13</v>
      </c>
      <c r="I65" t="s">
        <v>25</v>
      </c>
      <c r="J65" t="s">
        <v>41</v>
      </c>
      <c r="K65" t="str">
        <f>IFERROR(VLOOKUP(J65,producttype,2,FALSE),"unknown")</f>
        <v>Hot</v>
      </c>
      <c r="L65">
        <v>60</v>
      </c>
      <c r="M65" s="2">
        <v>134.16</v>
      </c>
    </row>
    <row r="66" spans="2:13" x14ac:dyDescent="0.2">
      <c r="B66" s="5">
        <v>38493.843400308841</v>
      </c>
      <c r="C66" s="5" t="str">
        <f t="shared" si="0"/>
        <v>Saturday</v>
      </c>
      <c r="D66" s="5" t="str">
        <f>TEXT(B66,"MMMM")</f>
        <v>May</v>
      </c>
      <c r="E66" s="5" t="str">
        <f>IFERROR(VLOOKUP(D66,monthseason,2,FALSE),"unknown")</f>
        <v>Spring</v>
      </c>
      <c r="F66" t="s">
        <v>4</v>
      </c>
      <c r="G66" t="str">
        <f>IFERROR(VLOOKUP(F66,citycountry,2,FALSE),"unknown")</f>
        <v>Portugal</v>
      </c>
      <c r="H66" t="s">
        <v>20</v>
      </c>
      <c r="I66" t="s">
        <v>25</v>
      </c>
      <c r="J66" t="s">
        <v>27</v>
      </c>
      <c r="K66" t="str">
        <f>IFERROR(VLOOKUP(J66,producttype,2,FALSE),"unknown")</f>
        <v>Cold</v>
      </c>
      <c r="L66">
        <v>630</v>
      </c>
      <c r="M66" s="2">
        <v>1335.69</v>
      </c>
    </row>
    <row r="67" spans="2:13" x14ac:dyDescent="0.2">
      <c r="B67" s="5">
        <v>38525.055927564921</v>
      </c>
      <c r="C67" s="5" t="str">
        <f t="shared" si="0"/>
        <v>Wednesday</v>
      </c>
      <c r="D67" s="5" t="str">
        <f>TEXT(B67,"MMMM")</f>
        <v>June</v>
      </c>
      <c r="E67" s="5" t="str">
        <f>IFERROR(VLOOKUP(D67,monthseason,2,FALSE),"unknown")</f>
        <v>Summer</v>
      </c>
      <c r="F67" t="s">
        <v>4</v>
      </c>
      <c r="G67" t="str">
        <f>IFERROR(VLOOKUP(F67,citycountry,2,FALSE),"unknown")</f>
        <v>Portugal</v>
      </c>
      <c r="H67" t="s">
        <v>24</v>
      </c>
      <c r="I67" t="s">
        <v>25</v>
      </c>
      <c r="J67" t="s">
        <v>27</v>
      </c>
      <c r="K67" t="str">
        <f>IFERROR(VLOOKUP(J67,producttype,2,FALSE),"unknown")</f>
        <v>Cold</v>
      </c>
      <c r="L67">
        <v>950</v>
      </c>
      <c r="M67" s="2">
        <v>2064.66</v>
      </c>
    </row>
    <row r="68" spans="2:13" x14ac:dyDescent="0.2">
      <c r="B68" s="5">
        <v>38526.415078981598</v>
      </c>
      <c r="C68" s="5" t="str">
        <f t="shared" ref="C68:C131" si="1">TEXT(B68,"dddd")</f>
        <v>Thursday</v>
      </c>
      <c r="D68" s="5" t="str">
        <f>TEXT(B68,"MMMM")</f>
        <v>June</v>
      </c>
      <c r="E68" s="5" t="str">
        <f>IFERROR(VLOOKUP(D68,monthseason,2,FALSE),"unknown")</f>
        <v>Summer</v>
      </c>
      <c r="F68" t="s">
        <v>4</v>
      </c>
      <c r="G68" t="str">
        <f>IFERROR(VLOOKUP(F68,citycountry,2,FALSE),"unknown")</f>
        <v>Portugal</v>
      </c>
      <c r="H68" t="s">
        <v>24</v>
      </c>
      <c r="I68" t="s">
        <v>29</v>
      </c>
      <c r="J68" t="s">
        <v>39</v>
      </c>
      <c r="K68" t="str">
        <f>IFERROR(VLOOKUP(J68,producttype,2,FALSE),"unknown")</f>
        <v>Cold</v>
      </c>
      <c r="L68">
        <v>500</v>
      </c>
      <c r="M68" s="2">
        <v>502.64</v>
      </c>
    </row>
    <row r="69" spans="2:13" x14ac:dyDescent="0.2">
      <c r="B69" s="5">
        <v>38551.894864938062</v>
      </c>
      <c r="C69" s="5" t="str">
        <f t="shared" si="1"/>
        <v>Monday</v>
      </c>
      <c r="D69" s="5" t="str">
        <f>TEXT(B69,"MMMM")</f>
        <v>July</v>
      </c>
      <c r="E69" s="5" t="str">
        <f>IFERROR(VLOOKUP(D69,monthseason,2,FALSE),"unknown")</f>
        <v>Summer</v>
      </c>
      <c r="F69" t="s">
        <v>4</v>
      </c>
      <c r="G69" t="str">
        <f>IFERROR(VLOOKUP(F69,citycountry,2,FALSE),"unknown")</f>
        <v>Portugal</v>
      </c>
      <c r="H69" t="s">
        <v>13</v>
      </c>
      <c r="I69" t="s">
        <v>29</v>
      </c>
      <c r="J69" t="s">
        <v>39</v>
      </c>
      <c r="K69" t="str">
        <f>IFERROR(VLOOKUP(J69,producttype,2,FALSE),"unknown")</f>
        <v>Cold</v>
      </c>
      <c r="L69">
        <v>935</v>
      </c>
      <c r="M69" s="2">
        <v>888.58</v>
      </c>
    </row>
    <row r="70" spans="2:13" x14ac:dyDescent="0.2">
      <c r="B70" s="5">
        <v>38562.503896445945</v>
      </c>
      <c r="C70" s="5" t="str">
        <f t="shared" si="1"/>
        <v>Friday</v>
      </c>
      <c r="D70" s="5" t="str">
        <f>TEXT(B70,"MMMM")</f>
        <v>July</v>
      </c>
      <c r="E70" s="5" t="str">
        <f>IFERROR(VLOOKUP(D70,monthseason,2,FALSE),"unknown")</f>
        <v>Summer</v>
      </c>
      <c r="F70" t="s">
        <v>4</v>
      </c>
      <c r="G70" t="str">
        <f>IFERROR(VLOOKUP(F70,citycountry,2,FALSE),"unknown")</f>
        <v>Portugal</v>
      </c>
      <c r="H70" t="s">
        <v>10</v>
      </c>
      <c r="I70" t="s">
        <v>29</v>
      </c>
      <c r="J70" t="s">
        <v>39</v>
      </c>
      <c r="K70" t="str">
        <f>IFERROR(VLOOKUP(J70,producttype,2,FALSE),"unknown")</f>
        <v>Cold</v>
      </c>
      <c r="L70">
        <v>985</v>
      </c>
      <c r="M70" s="2">
        <v>1107.24</v>
      </c>
    </row>
    <row r="71" spans="2:13" x14ac:dyDescent="0.2">
      <c r="B71" s="5">
        <v>38510.082057853186</v>
      </c>
      <c r="C71" s="5" t="str">
        <f t="shared" si="1"/>
        <v>Tuesday</v>
      </c>
      <c r="D71" s="5" t="str">
        <f>TEXT(B71,"MMMM")</f>
        <v>June</v>
      </c>
      <c r="E71" s="5" t="str">
        <f>IFERROR(VLOOKUP(D71,monthseason,2,FALSE),"unknown")</f>
        <v>Summer</v>
      </c>
      <c r="F71" t="s">
        <v>4</v>
      </c>
      <c r="G71" t="str">
        <f>IFERROR(VLOOKUP(F71,citycountry,2,FALSE),"unknown")</f>
        <v>Portugal</v>
      </c>
      <c r="H71" t="s">
        <v>9</v>
      </c>
      <c r="I71" t="s">
        <v>29</v>
      </c>
      <c r="J71" t="s">
        <v>43</v>
      </c>
      <c r="K71" t="str">
        <f>IFERROR(VLOOKUP(J71,producttype,2,FALSE),"unknown")</f>
        <v>Hot</v>
      </c>
      <c r="L71">
        <v>315</v>
      </c>
      <c r="M71" s="2">
        <v>691.57</v>
      </c>
    </row>
    <row r="72" spans="2:13" x14ac:dyDescent="0.2">
      <c r="B72" s="5">
        <v>38553.49560331348</v>
      </c>
      <c r="C72" s="5" t="str">
        <f t="shared" si="1"/>
        <v>Wednesday</v>
      </c>
      <c r="D72" s="5" t="str">
        <f>TEXT(B72,"MMMM")</f>
        <v>July</v>
      </c>
      <c r="E72" s="5" t="str">
        <f>IFERROR(VLOOKUP(D72,monthseason,2,FALSE),"unknown")</f>
        <v>Summer</v>
      </c>
      <c r="F72" t="s">
        <v>4</v>
      </c>
      <c r="G72" t="str">
        <f>IFERROR(VLOOKUP(F72,citycountry,2,FALSE),"unknown")</f>
        <v>Portugal</v>
      </c>
      <c r="H72" t="s">
        <v>15</v>
      </c>
      <c r="I72" t="s">
        <v>29</v>
      </c>
      <c r="J72" t="s">
        <v>43</v>
      </c>
      <c r="K72" t="str">
        <f>IFERROR(VLOOKUP(J72,producttype,2,FALSE),"unknown")</f>
        <v>Hot</v>
      </c>
      <c r="L72">
        <v>5</v>
      </c>
      <c r="M72" s="2">
        <v>25.64</v>
      </c>
    </row>
    <row r="73" spans="2:13" x14ac:dyDescent="0.2">
      <c r="B73" s="5">
        <v>38537.372858053634</v>
      </c>
      <c r="C73" s="5" t="str">
        <f t="shared" si="1"/>
        <v>Monday</v>
      </c>
      <c r="D73" s="5" t="str">
        <f>TEXT(B73,"MMMM")</f>
        <v>July</v>
      </c>
      <c r="E73" s="5" t="str">
        <f>IFERROR(VLOOKUP(D73,monthseason,2,FALSE),"unknown")</f>
        <v>Summer</v>
      </c>
      <c r="F73" t="s">
        <v>4</v>
      </c>
      <c r="G73" t="str">
        <f>IFERROR(VLOOKUP(F73,citycountry,2,FALSE),"unknown")</f>
        <v>Portugal</v>
      </c>
      <c r="H73" t="s">
        <v>11</v>
      </c>
      <c r="I73" t="s">
        <v>29</v>
      </c>
      <c r="J73" t="s">
        <v>40</v>
      </c>
      <c r="K73" t="str">
        <f>IFERROR(VLOOKUP(J73,producttype,2,FALSE),"unknown")</f>
        <v>Hot</v>
      </c>
      <c r="L73">
        <v>495</v>
      </c>
      <c r="M73" s="2">
        <v>998.71</v>
      </c>
    </row>
    <row r="74" spans="2:13" x14ac:dyDescent="0.2">
      <c r="B74" s="5">
        <v>38542.314754111147</v>
      </c>
      <c r="C74" s="5" t="str">
        <f t="shared" si="1"/>
        <v>Saturday</v>
      </c>
      <c r="D74" s="5" t="str">
        <f>TEXT(B74,"MMMM")</f>
        <v>July</v>
      </c>
      <c r="E74" s="5" t="str">
        <f>IFERROR(VLOOKUP(D74,monthseason,2,FALSE),"unknown")</f>
        <v>Summer</v>
      </c>
      <c r="F74" t="s">
        <v>4</v>
      </c>
      <c r="G74" t="str">
        <f>IFERROR(VLOOKUP(F74,citycountry,2,FALSE),"unknown")</f>
        <v>Portugal</v>
      </c>
      <c r="H74" t="s">
        <v>9</v>
      </c>
      <c r="I74" t="s">
        <v>29</v>
      </c>
      <c r="J74" t="s">
        <v>27</v>
      </c>
      <c r="K74" t="str">
        <f>IFERROR(VLOOKUP(J74,producttype,2,FALSE),"unknown")</f>
        <v>Cold</v>
      </c>
      <c r="L74">
        <v>455</v>
      </c>
      <c r="M74" s="2">
        <v>1196.79</v>
      </c>
    </row>
    <row r="75" spans="2:13" x14ac:dyDescent="0.2">
      <c r="B75" s="5">
        <v>38555.943412378248</v>
      </c>
      <c r="C75" s="5" t="str">
        <f t="shared" si="1"/>
        <v>Friday</v>
      </c>
      <c r="D75" s="5" t="str">
        <f>TEXT(B75,"MMMM")</f>
        <v>July</v>
      </c>
      <c r="E75" s="5" t="str">
        <f>IFERROR(VLOOKUP(D75,monthseason,2,FALSE),"unknown")</f>
        <v>Summer</v>
      </c>
      <c r="F75" t="s">
        <v>4</v>
      </c>
      <c r="G75" t="str">
        <f>IFERROR(VLOOKUP(F75,citycountry,2,FALSE),"unknown")</f>
        <v>Portugal</v>
      </c>
      <c r="H75" t="s">
        <v>20</v>
      </c>
      <c r="I75" t="s">
        <v>29</v>
      </c>
      <c r="J75" t="s">
        <v>27</v>
      </c>
      <c r="K75" t="str">
        <f>IFERROR(VLOOKUP(J75,producttype,2,FALSE),"unknown")</f>
        <v>Cold</v>
      </c>
      <c r="L75">
        <v>505</v>
      </c>
      <c r="M75" s="2">
        <v>1577.5</v>
      </c>
    </row>
    <row r="76" spans="2:13" x14ac:dyDescent="0.2">
      <c r="B76" s="5">
        <v>38577.889563867655</v>
      </c>
      <c r="C76" s="5" t="str">
        <f t="shared" si="1"/>
        <v>Saturday</v>
      </c>
      <c r="D76" s="5" t="str">
        <f>TEXT(B76,"MMMM")</f>
        <v>August</v>
      </c>
      <c r="E76" s="5" t="str">
        <f>IFERROR(VLOOKUP(D76,monthseason,2,FALSE),"unknown")</f>
        <v>Summer</v>
      </c>
      <c r="F76" t="s">
        <v>4</v>
      </c>
      <c r="G76" t="str">
        <f>IFERROR(VLOOKUP(F76,citycountry,2,FALSE),"unknown")</f>
        <v>Portugal</v>
      </c>
      <c r="H76" t="s">
        <v>17</v>
      </c>
      <c r="I76" t="s">
        <v>29</v>
      </c>
      <c r="J76" t="s">
        <v>27</v>
      </c>
      <c r="K76" t="str">
        <f>IFERROR(VLOOKUP(J76,producttype,2,FALSE),"unknown")</f>
        <v>Cold</v>
      </c>
      <c r="L76">
        <v>450</v>
      </c>
      <c r="M76" s="2">
        <v>1447.42</v>
      </c>
    </row>
    <row r="77" spans="2:13" x14ac:dyDescent="0.2">
      <c r="B77" s="5">
        <v>38503.173432557211</v>
      </c>
      <c r="C77" s="5" t="str">
        <f t="shared" si="1"/>
        <v>Tuesday</v>
      </c>
      <c r="D77" s="5" t="str">
        <f>TEXT(B77,"MMMM")</f>
        <v>May</v>
      </c>
      <c r="E77" s="5" t="str">
        <f>IFERROR(VLOOKUP(D77,monthseason,2,FALSE),"unknown")</f>
        <v>Spring</v>
      </c>
      <c r="F77" t="s">
        <v>36</v>
      </c>
      <c r="G77" t="str">
        <f>IFERROR(VLOOKUP(F77,citycountry,2,FALSE),"unknown")</f>
        <v>Portugal</v>
      </c>
      <c r="H77" t="s">
        <v>17</v>
      </c>
      <c r="I77" t="s">
        <v>35</v>
      </c>
      <c r="J77" t="s">
        <v>39</v>
      </c>
      <c r="K77" t="str">
        <f>IFERROR(VLOOKUP(J77,producttype,2,FALSE),"unknown")</f>
        <v>Cold</v>
      </c>
      <c r="L77">
        <v>630</v>
      </c>
      <c r="M77" s="2">
        <v>1880.99</v>
      </c>
    </row>
    <row r="78" spans="2:13" x14ac:dyDescent="0.2">
      <c r="B78" s="5">
        <v>38514.141112396268</v>
      </c>
      <c r="C78" s="5" t="str">
        <f t="shared" si="1"/>
        <v>Saturday</v>
      </c>
      <c r="D78" s="5" t="str">
        <f>TEXT(B78,"MMMM")</f>
        <v>June</v>
      </c>
      <c r="E78" s="5" t="str">
        <f>IFERROR(VLOOKUP(D78,monthseason,2,FALSE),"unknown")</f>
        <v>Summer</v>
      </c>
      <c r="F78" t="s">
        <v>36</v>
      </c>
      <c r="G78" t="str">
        <f>IFERROR(VLOOKUP(F78,citycountry,2,FALSE),"unknown")</f>
        <v>Portugal</v>
      </c>
      <c r="H78" t="s">
        <v>12</v>
      </c>
      <c r="I78" t="s">
        <v>35</v>
      </c>
      <c r="J78" t="s">
        <v>39</v>
      </c>
      <c r="K78" t="str">
        <f>IFERROR(VLOOKUP(J78,producttype,2,FALSE),"unknown")</f>
        <v>Cold</v>
      </c>
      <c r="L78">
        <v>675</v>
      </c>
      <c r="M78" s="2">
        <v>601.85</v>
      </c>
    </row>
    <row r="79" spans="2:13" x14ac:dyDescent="0.2">
      <c r="B79" s="5">
        <v>38533.613997287219</v>
      </c>
      <c r="C79" s="5" t="str">
        <f t="shared" si="1"/>
        <v>Thursday</v>
      </c>
      <c r="D79" s="5" t="str">
        <f>TEXT(B79,"MMMM")</f>
        <v>June</v>
      </c>
      <c r="E79" s="5" t="str">
        <f>IFERROR(VLOOKUP(D79,monthseason,2,FALSE),"unknown")</f>
        <v>Summer</v>
      </c>
      <c r="F79" t="s">
        <v>36</v>
      </c>
      <c r="G79" t="str">
        <f>IFERROR(VLOOKUP(F79,citycountry,2,FALSE),"unknown")</f>
        <v>Portugal</v>
      </c>
      <c r="H79" t="s">
        <v>17</v>
      </c>
      <c r="I79" t="s">
        <v>35</v>
      </c>
      <c r="J79" t="s">
        <v>39</v>
      </c>
      <c r="K79" t="str">
        <f>IFERROR(VLOOKUP(J79,producttype,2,FALSE),"unknown")</f>
        <v>Cold</v>
      </c>
      <c r="L79">
        <v>395</v>
      </c>
      <c r="M79" s="2">
        <v>357.3</v>
      </c>
    </row>
    <row r="80" spans="2:13" x14ac:dyDescent="0.2">
      <c r="B80" s="5">
        <v>38472.960188775833</v>
      </c>
      <c r="C80" s="5" t="str">
        <f t="shared" si="1"/>
        <v>Saturday</v>
      </c>
      <c r="D80" s="5" t="str">
        <f>TEXT(B80,"MMMM")</f>
        <v>April</v>
      </c>
      <c r="E80" s="5" t="str">
        <f>IFERROR(VLOOKUP(D80,monthseason,2,FALSE),"unknown")</f>
        <v>Spring</v>
      </c>
      <c r="F80" t="s">
        <v>36</v>
      </c>
      <c r="G80" t="str">
        <f>IFERROR(VLOOKUP(F80,citycountry,2,FALSE),"unknown")</f>
        <v>Portugal</v>
      </c>
      <c r="H80" t="s">
        <v>22</v>
      </c>
      <c r="I80" t="s">
        <v>35</v>
      </c>
      <c r="J80" t="s">
        <v>43</v>
      </c>
      <c r="K80" t="str">
        <f>IFERROR(VLOOKUP(J80,producttype,2,FALSE),"unknown")</f>
        <v>Hot</v>
      </c>
      <c r="L80">
        <v>710</v>
      </c>
      <c r="M80" s="2">
        <v>3121.89</v>
      </c>
    </row>
    <row r="81" spans="2:13" x14ac:dyDescent="0.2">
      <c r="B81" s="5">
        <v>38499.589934628842</v>
      </c>
      <c r="C81" s="5" t="str">
        <f t="shared" si="1"/>
        <v>Friday</v>
      </c>
      <c r="D81" s="5" t="str">
        <f>TEXT(B81,"MMMM")</f>
        <v>May</v>
      </c>
      <c r="E81" s="5" t="str">
        <f>IFERROR(VLOOKUP(D81,monthseason,2,FALSE),"unknown")</f>
        <v>Spring</v>
      </c>
      <c r="F81" t="s">
        <v>36</v>
      </c>
      <c r="G81" t="str">
        <f>IFERROR(VLOOKUP(F81,citycountry,2,FALSE),"unknown")</f>
        <v>Portugal</v>
      </c>
      <c r="H81" t="s">
        <v>6</v>
      </c>
      <c r="I81" t="s">
        <v>35</v>
      </c>
      <c r="J81" t="s">
        <v>43</v>
      </c>
      <c r="K81" t="str">
        <f>IFERROR(VLOOKUP(J81,producttype,2,FALSE),"unknown")</f>
        <v>Hot</v>
      </c>
      <c r="L81">
        <v>445</v>
      </c>
      <c r="M81" s="2">
        <v>2005.11</v>
      </c>
    </row>
    <row r="82" spans="2:13" x14ac:dyDescent="0.2">
      <c r="B82" s="5">
        <v>38433.391879448944</v>
      </c>
      <c r="C82" s="5" t="str">
        <f t="shared" si="1"/>
        <v>Tuesday</v>
      </c>
      <c r="D82" s="5" t="str">
        <f>TEXT(B82,"MMMM")</f>
        <v>March</v>
      </c>
      <c r="E82" s="5" t="str">
        <f>IFERROR(VLOOKUP(D82,monthseason,2,FALSE),"unknown")</f>
        <v>Spring</v>
      </c>
      <c r="F82" t="s">
        <v>36</v>
      </c>
      <c r="G82" t="str">
        <f>IFERROR(VLOOKUP(F82,citycountry,2,FALSE),"unknown")</f>
        <v>Portugal</v>
      </c>
      <c r="H82" t="s">
        <v>15</v>
      </c>
      <c r="I82" t="s">
        <v>35</v>
      </c>
      <c r="J82" t="s">
        <v>40</v>
      </c>
      <c r="K82" t="str">
        <f>IFERROR(VLOOKUP(J82,producttype,2,FALSE),"unknown")</f>
        <v>Hot</v>
      </c>
      <c r="L82">
        <v>20</v>
      </c>
      <c r="M82" s="2">
        <v>35.840000000000003</v>
      </c>
    </row>
    <row r="83" spans="2:13" x14ac:dyDescent="0.2">
      <c r="B83" s="5">
        <v>38411.878229510097</v>
      </c>
      <c r="C83" s="5" t="str">
        <f t="shared" si="1"/>
        <v>Monday</v>
      </c>
      <c r="D83" s="5" t="str">
        <f>TEXT(B83,"MMMM")</f>
        <v>February</v>
      </c>
      <c r="E83" s="5" t="str">
        <f>IFERROR(VLOOKUP(D83,monthseason,2,FALSE),"unknown")</f>
        <v>Winter</v>
      </c>
      <c r="F83" t="s">
        <v>36</v>
      </c>
      <c r="G83" t="str">
        <f>IFERROR(VLOOKUP(F83,citycountry,2,FALSE),"unknown")</f>
        <v>Portugal</v>
      </c>
      <c r="H83" t="s">
        <v>17</v>
      </c>
      <c r="I83" t="s">
        <v>35</v>
      </c>
      <c r="J83" t="s">
        <v>28</v>
      </c>
      <c r="K83" t="str">
        <f>IFERROR(VLOOKUP(J83,producttype,2,FALSE),"unknown")</f>
        <v>Hot</v>
      </c>
      <c r="L83">
        <v>755</v>
      </c>
      <c r="M83" s="2">
        <v>2801.51</v>
      </c>
    </row>
    <row r="84" spans="2:13" x14ac:dyDescent="0.2">
      <c r="B84" s="5">
        <v>38491.981922424355</v>
      </c>
      <c r="C84" s="5" t="str">
        <f t="shared" si="1"/>
        <v>Thursday</v>
      </c>
      <c r="D84" s="5" t="str">
        <f>TEXT(B84,"MMMM")</f>
        <v>May</v>
      </c>
      <c r="E84" s="5" t="str">
        <f>IFERROR(VLOOKUP(D84,monthseason,2,FALSE),"unknown")</f>
        <v>Spring</v>
      </c>
      <c r="F84" t="s">
        <v>36</v>
      </c>
      <c r="G84" t="str">
        <f>IFERROR(VLOOKUP(F84,citycountry,2,FALSE),"unknown")</f>
        <v>Portugal</v>
      </c>
      <c r="H84" t="s">
        <v>10</v>
      </c>
      <c r="I84" t="s">
        <v>35</v>
      </c>
      <c r="J84" t="s">
        <v>28</v>
      </c>
      <c r="K84" t="str">
        <f>IFERROR(VLOOKUP(J84,producttype,2,FALSE),"unknown")</f>
        <v>Hot</v>
      </c>
      <c r="L84">
        <v>895</v>
      </c>
      <c r="M84" s="2">
        <v>3554.01</v>
      </c>
    </row>
    <row r="85" spans="2:13" x14ac:dyDescent="0.2">
      <c r="B85" s="5">
        <v>38469.069535271912</v>
      </c>
      <c r="C85" s="5" t="str">
        <f t="shared" si="1"/>
        <v>Wednesday</v>
      </c>
      <c r="D85" s="5" t="str">
        <f>TEXT(B85,"MMMM")</f>
        <v>April</v>
      </c>
      <c r="E85" s="5" t="str">
        <f>IFERROR(VLOOKUP(D85,monthseason,2,FALSE),"unknown")</f>
        <v>Spring</v>
      </c>
      <c r="F85" t="s">
        <v>36</v>
      </c>
      <c r="G85" t="str">
        <f>IFERROR(VLOOKUP(F85,citycountry,2,FALSE),"unknown")</f>
        <v>Portugal</v>
      </c>
      <c r="H85" t="s">
        <v>20</v>
      </c>
      <c r="I85" t="s">
        <v>35</v>
      </c>
      <c r="J85" t="s">
        <v>41</v>
      </c>
      <c r="K85" t="str">
        <f>IFERROR(VLOOKUP(J85,producttype,2,FALSE),"unknown")</f>
        <v>Hot</v>
      </c>
      <c r="L85">
        <v>100</v>
      </c>
      <c r="M85" s="2">
        <v>296.98</v>
      </c>
    </row>
    <row r="86" spans="2:13" x14ac:dyDescent="0.2">
      <c r="B86" s="5">
        <v>38493.449819933288</v>
      </c>
      <c r="C86" s="5" t="str">
        <f t="shared" si="1"/>
        <v>Saturday</v>
      </c>
      <c r="D86" s="5" t="str">
        <f>TEXT(B86,"MMMM")</f>
        <v>May</v>
      </c>
      <c r="E86" s="5" t="str">
        <f>IFERROR(VLOOKUP(D86,monthseason,2,FALSE),"unknown")</f>
        <v>Spring</v>
      </c>
      <c r="F86" t="s">
        <v>36</v>
      </c>
      <c r="G86" t="str">
        <f>IFERROR(VLOOKUP(F86,citycountry,2,FALSE),"unknown")</f>
        <v>Portugal</v>
      </c>
      <c r="H86" t="s">
        <v>19</v>
      </c>
      <c r="I86" t="s">
        <v>35</v>
      </c>
      <c r="J86" t="s">
        <v>41</v>
      </c>
      <c r="K86" t="str">
        <f>IFERROR(VLOOKUP(J86,producttype,2,FALSE),"unknown")</f>
        <v>Hot</v>
      </c>
      <c r="L86">
        <v>440</v>
      </c>
      <c r="M86" s="2">
        <v>1362.85</v>
      </c>
    </row>
    <row r="87" spans="2:13" x14ac:dyDescent="0.2">
      <c r="B87" s="5">
        <v>38506</v>
      </c>
      <c r="C87" s="5" t="str">
        <f t="shared" si="1"/>
        <v>Friday</v>
      </c>
      <c r="D87" s="5" t="str">
        <f>TEXT(B87,"MMMM")</f>
        <v>June</v>
      </c>
      <c r="E87" s="5" t="str">
        <f>IFERROR(VLOOKUP(D87,monthseason,2,FALSE),"unknown")</f>
        <v>Summer</v>
      </c>
      <c r="F87" t="s">
        <v>36</v>
      </c>
      <c r="G87" t="str">
        <f>IFERROR(VLOOKUP(F87,citycountry,2,FALSE),"unknown")</f>
        <v>Portugal</v>
      </c>
      <c r="H87" t="s">
        <v>17</v>
      </c>
      <c r="I87" t="s">
        <v>35</v>
      </c>
      <c r="J87" t="s">
        <v>27</v>
      </c>
      <c r="K87" t="str">
        <f>IFERROR(VLOOKUP(J87,producttype,2,FALSE),"unknown")</f>
        <v>Cold</v>
      </c>
      <c r="L87">
        <v>265</v>
      </c>
      <c r="M87" s="2">
        <v>713.51</v>
      </c>
    </row>
    <row r="88" spans="2:13" x14ac:dyDescent="0.2">
      <c r="B88" s="5">
        <v>38490.812762553898</v>
      </c>
      <c r="C88" s="5" t="str">
        <f t="shared" si="1"/>
        <v>Wednesday</v>
      </c>
      <c r="D88" s="5" t="str">
        <f>TEXT(B88,"MMMM")</f>
        <v>May</v>
      </c>
      <c r="E88" s="5" t="str">
        <f>IFERROR(VLOOKUP(D88,monthseason,2,FALSE),"unknown")</f>
        <v>Spring</v>
      </c>
      <c r="F88" t="s">
        <v>36</v>
      </c>
      <c r="G88" t="str">
        <f>IFERROR(VLOOKUP(F88,citycountry,2,FALSE),"unknown")</f>
        <v>Portugal</v>
      </c>
      <c r="H88" t="s">
        <v>5</v>
      </c>
      <c r="I88" t="s">
        <v>35</v>
      </c>
      <c r="J88" t="s">
        <v>38</v>
      </c>
      <c r="K88" t="str">
        <f>IFERROR(VLOOKUP(J88,producttype,2,FALSE),"unknown")</f>
        <v>Hot</v>
      </c>
      <c r="L88">
        <v>760</v>
      </c>
      <c r="M88" s="2">
        <v>4758.62</v>
      </c>
    </row>
    <row r="89" spans="2:13" x14ac:dyDescent="0.2">
      <c r="B89" s="5">
        <v>38501.335737105554</v>
      </c>
      <c r="C89" s="5" t="str">
        <f t="shared" si="1"/>
        <v>Sunday</v>
      </c>
      <c r="D89" s="5" t="str">
        <f>TEXT(B89,"MMMM")</f>
        <v>May</v>
      </c>
      <c r="E89" s="5" t="str">
        <f>IFERROR(VLOOKUP(D89,monthseason,2,FALSE),"unknown")</f>
        <v>Spring</v>
      </c>
      <c r="F89" t="s">
        <v>36</v>
      </c>
      <c r="G89" t="str">
        <f>IFERROR(VLOOKUP(F89,citycountry,2,FALSE),"unknown")</f>
        <v>Portugal</v>
      </c>
      <c r="H89" t="s">
        <v>5</v>
      </c>
      <c r="I89" t="s">
        <v>35</v>
      </c>
      <c r="J89" t="s">
        <v>38</v>
      </c>
      <c r="K89" t="str">
        <f>IFERROR(VLOOKUP(J89,producttype,2,FALSE),"unknown")</f>
        <v>Hot</v>
      </c>
      <c r="L89">
        <v>145</v>
      </c>
      <c r="M89" s="2">
        <v>1045.1099999999999</v>
      </c>
    </row>
    <row r="90" spans="2:13" x14ac:dyDescent="0.2">
      <c r="B90" s="5">
        <v>38496.79021225535</v>
      </c>
      <c r="C90" s="5" t="str">
        <f t="shared" si="1"/>
        <v>Tuesday</v>
      </c>
      <c r="D90" s="5" t="str">
        <f>TEXT(B90,"MMMM")</f>
        <v>May</v>
      </c>
      <c r="E90" s="5" t="str">
        <f>IFERROR(VLOOKUP(D90,monthseason,2,FALSE),"unknown")</f>
        <v>Spring</v>
      </c>
      <c r="F90" t="s">
        <v>36</v>
      </c>
      <c r="G90" t="str">
        <f>IFERROR(VLOOKUP(F90,citycountry,2,FALSE),"unknown")</f>
        <v>Portugal</v>
      </c>
      <c r="H90" t="s">
        <v>17</v>
      </c>
      <c r="I90" t="s">
        <v>26</v>
      </c>
      <c r="J90" t="s">
        <v>39</v>
      </c>
      <c r="K90" t="str">
        <f>IFERROR(VLOOKUP(J90,producttype,2,FALSE),"unknown")</f>
        <v>Cold</v>
      </c>
      <c r="L90">
        <v>715</v>
      </c>
      <c r="M90" s="2">
        <v>278.92</v>
      </c>
    </row>
    <row r="91" spans="2:13" x14ac:dyDescent="0.2">
      <c r="B91" s="5">
        <v>38502.501469305447</v>
      </c>
      <c r="C91" s="5" t="str">
        <f t="shared" si="1"/>
        <v>Monday</v>
      </c>
      <c r="D91" s="5" t="str">
        <f>TEXT(B91,"MMMM")</f>
        <v>May</v>
      </c>
      <c r="E91" s="5" t="str">
        <f>IFERROR(VLOOKUP(D91,monthseason,2,FALSE),"unknown")</f>
        <v>Spring</v>
      </c>
      <c r="F91" t="s">
        <v>36</v>
      </c>
      <c r="G91" t="str">
        <f>IFERROR(VLOOKUP(F91,citycountry,2,FALSE),"unknown")</f>
        <v>Portugal</v>
      </c>
      <c r="H91" t="s">
        <v>20</v>
      </c>
      <c r="I91" t="s">
        <v>26</v>
      </c>
      <c r="J91" t="s">
        <v>39</v>
      </c>
      <c r="K91" t="str">
        <f>IFERROR(VLOOKUP(J91,producttype,2,FALSE),"unknown")</f>
        <v>Cold</v>
      </c>
      <c r="L91">
        <v>985</v>
      </c>
      <c r="M91" s="2">
        <v>399.81</v>
      </c>
    </row>
    <row r="92" spans="2:13" x14ac:dyDescent="0.2">
      <c r="B92" s="5">
        <v>38507.173857865411</v>
      </c>
      <c r="C92" s="5" t="str">
        <f t="shared" si="1"/>
        <v>Saturday</v>
      </c>
      <c r="D92" s="5" t="str">
        <f>TEXT(B92,"MMMM")</f>
        <v>June</v>
      </c>
      <c r="E92" s="5" t="str">
        <f>IFERROR(VLOOKUP(D92,monthseason,2,FALSE),"unknown")</f>
        <v>Summer</v>
      </c>
      <c r="F92" t="s">
        <v>36</v>
      </c>
      <c r="G92" t="str">
        <f>IFERROR(VLOOKUP(F92,citycountry,2,FALSE),"unknown")</f>
        <v>Portugal</v>
      </c>
      <c r="H92" t="s">
        <v>11</v>
      </c>
      <c r="I92" t="s">
        <v>26</v>
      </c>
      <c r="J92" t="s">
        <v>39</v>
      </c>
      <c r="K92" t="str">
        <f>IFERROR(VLOOKUP(J92,producttype,2,FALSE),"unknown")</f>
        <v>Cold</v>
      </c>
      <c r="L92">
        <v>610</v>
      </c>
      <c r="M92" s="2">
        <v>251.07</v>
      </c>
    </row>
    <row r="93" spans="2:13" x14ac:dyDescent="0.2">
      <c r="B93" s="5">
        <v>38524.74062358513</v>
      </c>
      <c r="C93" s="5" t="str">
        <f t="shared" si="1"/>
        <v>Tuesday</v>
      </c>
      <c r="D93" s="5" t="str">
        <f>TEXT(B93,"MMMM")</f>
        <v>June</v>
      </c>
      <c r="E93" s="5" t="str">
        <f>IFERROR(VLOOKUP(D93,monthseason,2,FALSE),"unknown")</f>
        <v>Summer</v>
      </c>
      <c r="F93" t="s">
        <v>36</v>
      </c>
      <c r="G93" t="str">
        <f>IFERROR(VLOOKUP(F93,citycountry,2,FALSE),"unknown")</f>
        <v>Portugal</v>
      </c>
      <c r="H93" t="s">
        <v>21</v>
      </c>
      <c r="I93" t="s">
        <v>26</v>
      </c>
      <c r="J93" t="s">
        <v>39</v>
      </c>
      <c r="K93" t="str">
        <f>IFERROR(VLOOKUP(J93,producttype,2,FALSE),"unknown")</f>
        <v>Cold</v>
      </c>
      <c r="L93">
        <v>300</v>
      </c>
      <c r="M93" s="2">
        <v>134.11000000000001</v>
      </c>
    </row>
    <row r="94" spans="2:13" x14ac:dyDescent="0.2">
      <c r="B94" s="5">
        <v>38431.715004332691</v>
      </c>
      <c r="C94" s="5" t="str">
        <f t="shared" si="1"/>
        <v>Sunday</v>
      </c>
      <c r="D94" s="5" t="str">
        <f>TEXT(B94,"MMMM")</f>
        <v>March</v>
      </c>
      <c r="E94" s="5" t="str">
        <f>IFERROR(VLOOKUP(D94,monthseason,2,FALSE),"unknown")</f>
        <v>Spring</v>
      </c>
      <c r="F94" t="s">
        <v>36</v>
      </c>
      <c r="G94" t="str">
        <f>IFERROR(VLOOKUP(F94,citycountry,2,FALSE),"unknown")</f>
        <v>Portugal</v>
      </c>
      <c r="H94" t="s">
        <v>21</v>
      </c>
      <c r="I94" t="s">
        <v>26</v>
      </c>
      <c r="J94" t="s">
        <v>43</v>
      </c>
      <c r="K94" t="str">
        <f>IFERROR(VLOOKUP(J94,producttype,2,FALSE),"unknown")</f>
        <v>Hot</v>
      </c>
      <c r="L94">
        <v>195</v>
      </c>
      <c r="M94" s="2">
        <v>672.76</v>
      </c>
    </row>
    <row r="95" spans="2:13" x14ac:dyDescent="0.2">
      <c r="B95" s="5">
        <v>38476.262206253079</v>
      </c>
      <c r="C95" s="5" t="str">
        <f t="shared" si="1"/>
        <v>Wednesday</v>
      </c>
      <c r="D95" s="5" t="str">
        <f>TEXT(B95,"MMMM")</f>
        <v>May</v>
      </c>
      <c r="E95" s="5" t="str">
        <f>IFERROR(VLOOKUP(D95,monthseason,2,FALSE),"unknown")</f>
        <v>Spring</v>
      </c>
      <c r="F95" t="s">
        <v>36</v>
      </c>
      <c r="G95" t="str">
        <f>IFERROR(VLOOKUP(F95,citycountry,2,FALSE),"unknown")</f>
        <v>Portugal</v>
      </c>
      <c r="H95" t="s">
        <v>17</v>
      </c>
      <c r="I95" t="s">
        <v>26</v>
      </c>
      <c r="J95" t="s">
        <v>43</v>
      </c>
      <c r="K95" t="str">
        <f>IFERROR(VLOOKUP(J95,producttype,2,FALSE),"unknown")</f>
        <v>Hot</v>
      </c>
      <c r="L95">
        <v>785</v>
      </c>
      <c r="M95" s="2">
        <v>1725.17</v>
      </c>
    </row>
    <row r="96" spans="2:13" x14ac:dyDescent="0.2">
      <c r="B96" s="5">
        <v>38498.800601855546</v>
      </c>
      <c r="C96" s="5" t="str">
        <f t="shared" si="1"/>
        <v>Thursday</v>
      </c>
      <c r="D96" s="5" t="str">
        <f>TEXT(B96,"MMMM")</f>
        <v>May</v>
      </c>
      <c r="E96" s="5" t="str">
        <f>IFERROR(VLOOKUP(D96,monthseason,2,FALSE),"unknown")</f>
        <v>Spring</v>
      </c>
      <c r="F96" t="s">
        <v>36</v>
      </c>
      <c r="G96" t="str">
        <f>IFERROR(VLOOKUP(F96,citycountry,2,FALSE),"unknown")</f>
        <v>Portugal</v>
      </c>
      <c r="H96" t="s">
        <v>5</v>
      </c>
      <c r="I96" t="s">
        <v>26</v>
      </c>
      <c r="J96" t="s">
        <v>43</v>
      </c>
      <c r="K96" t="str">
        <f>IFERROR(VLOOKUP(J96,producttype,2,FALSE),"unknown")</f>
        <v>Hot</v>
      </c>
      <c r="L96">
        <v>775</v>
      </c>
      <c r="M96" s="2">
        <v>4421.5600000000004</v>
      </c>
    </row>
    <row r="97" spans="2:13" x14ac:dyDescent="0.2">
      <c r="B97" s="5">
        <v>38452.596351119471</v>
      </c>
      <c r="C97" s="5" t="str">
        <f t="shared" si="1"/>
        <v>Sunday</v>
      </c>
      <c r="D97" s="5" t="str">
        <f>TEXT(B97,"MMMM")</f>
        <v>April</v>
      </c>
      <c r="E97" s="5" t="str">
        <f>IFERROR(VLOOKUP(D97,monthseason,2,FALSE),"unknown")</f>
        <v>Spring</v>
      </c>
      <c r="F97" t="s">
        <v>36</v>
      </c>
      <c r="G97" t="str">
        <f>IFERROR(VLOOKUP(F97,citycountry,2,FALSE),"unknown")</f>
        <v>Portugal</v>
      </c>
      <c r="H97" t="s">
        <v>20</v>
      </c>
      <c r="I97" t="s">
        <v>26</v>
      </c>
      <c r="J97" t="s">
        <v>40</v>
      </c>
      <c r="K97" t="str">
        <f>IFERROR(VLOOKUP(J97,producttype,2,FALSE),"unknown")</f>
        <v>Hot</v>
      </c>
      <c r="L97">
        <v>925</v>
      </c>
      <c r="M97" s="2">
        <v>799.96</v>
      </c>
    </row>
    <row r="98" spans="2:13" x14ac:dyDescent="0.2">
      <c r="B98" s="5">
        <v>38455.58567519729</v>
      </c>
      <c r="C98" s="5" t="str">
        <f t="shared" si="1"/>
        <v>Wednesday</v>
      </c>
      <c r="D98" s="5" t="str">
        <f>TEXT(B98,"MMMM")</f>
        <v>April</v>
      </c>
      <c r="E98" s="5" t="str">
        <f>IFERROR(VLOOKUP(D98,monthseason,2,FALSE),"unknown")</f>
        <v>Spring</v>
      </c>
      <c r="F98" t="s">
        <v>36</v>
      </c>
      <c r="G98" t="str">
        <f>IFERROR(VLOOKUP(F98,citycountry,2,FALSE),"unknown")</f>
        <v>Portugal</v>
      </c>
      <c r="H98" t="s">
        <v>8</v>
      </c>
      <c r="I98" t="s">
        <v>26</v>
      </c>
      <c r="J98" t="s">
        <v>40</v>
      </c>
      <c r="K98" t="str">
        <f>IFERROR(VLOOKUP(J98,producttype,2,FALSE),"unknown")</f>
        <v>Hot</v>
      </c>
      <c r="L98">
        <v>810</v>
      </c>
      <c r="M98" s="2">
        <v>641.83000000000004</v>
      </c>
    </row>
    <row r="99" spans="2:13" x14ac:dyDescent="0.2">
      <c r="B99" s="5">
        <v>38517.419402557061</v>
      </c>
      <c r="C99" s="5" t="str">
        <f t="shared" si="1"/>
        <v>Tuesday</v>
      </c>
      <c r="D99" s="5" t="str">
        <f>TEXT(B99,"MMMM")</f>
        <v>June</v>
      </c>
      <c r="E99" s="5" t="str">
        <f>IFERROR(VLOOKUP(D99,monthseason,2,FALSE),"unknown")</f>
        <v>Summer</v>
      </c>
      <c r="F99" t="s">
        <v>36</v>
      </c>
      <c r="G99" t="str">
        <f>IFERROR(VLOOKUP(F99,citycountry,2,FALSE),"unknown")</f>
        <v>Portugal</v>
      </c>
      <c r="H99" t="s">
        <v>7</v>
      </c>
      <c r="I99" t="s">
        <v>26</v>
      </c>
      <c r="J99" t="s">
        <v>28</v>
      </c>
      <c r="K99" t="str">
        <f>IFERROR(VLOOKUP(J99,producttype,2,FALSE),"unknown")</f>
        <v>Hot</v>
      </c>
      <c r="L99">
        <v>120</v>
      </c>
      <c r="M99" s="2">
        <v>193.01</v>
      </c>
    </row>
    <row r="100" spans="2:13" x14ac:dyDescent="0.2">
      <c r="B100" s="5">
        <v>38445.24790862175</v>
      </c>
      <c r="C100" s="5" t="str">
        <f t="shared" si="1"/>
        <v>Sunday</v>
      </c>
      <c r="D100" s="5" t="str">
        <f>TEXT(B100,"MMMM")</f>
        <v>April</v>
      </c>
      <c r="E100" s="5" t="str">
        <f>IFERROR(VLOOKUP(D100,monthseason,2,FALSE),"unknown")</f>
        <v>Spring</v>
      </c>
      <c r="F100" t="s">
        <v>36</v>
      </c>
      <c r="G100" t="str">
        <f>IFERROR(VLOOKUP(F100,citycountry,2,FALSE),"unknown")</f>
        <v>Portugal</v>
      </c>
      <c r="H100" t="s">
        <v>21</v>
      </c>
      <c r="I100" t="s">
        <v>26</v>
      </c>
      <c r="J100" t="s">
        <v>27</v>
      </c>
      <c r="K100" t="str">
        <f>IFERROR(VLOOKUP(J100,producttype,2,FALSE),"unknown")</f>
        <v>Cold</v>
      </c>
      <c r="L100">
        <v>970</v>
      </c>
      <c r="M100" s="2">
        <v>1144.8800000000001</v>
      </c>
    </row>
    <row r="101" spans="2:13" x14ac:dyDescent="0.2">
      <c r="B101" s="5">
        <v>38451.509657267168</v>
      </c>
      <c r="C101" s="5" t="str">
        <f t="shared" si="1"/>
        <v>Saturday</v>
      </c>
      <c r="D101" s="5" t="str">
        <f>TEXT(B101,"MMMM")</f>
        <v>April</v>
      </c>
      <c r="E101" s="5" t="str">
        <f>IFERROR(VLOOKUP(D101,monthseason,2,FALSE),"unknown")</f>
        <v>Spring</v>
      </c>
      <c r="F101" t="s">
        <v>36</v>
      </c>
      <c r="G101" t="str">
        <f>IFERROR(VLOOKUP(F101,citycountry,2,FALSE),"unknown")</f>
        <v>Portugal</v>
      </c>
      <c r="H101" t="s">
        <v>6</v>
      </c>
      <c r="I101" t="s">
        <v>26</v>
      </c>
      <c r="J101" t="s">
        <v>27</v>
      </c>
      <c r="K101" t="str">
        <f>IFERROR(VLOOKUP(J101,producttype,2,FALSE),"unknown")</f>
        <v>Cold</v>
      </c>
      <c r="L101">
        <v>640</v>
      </c>
      <c r="M101" s="2">
        <v>829.06</v>
      </c>
    </row>
    <row r="102" spans="2:13" x14ac:dyDescent="0.2">
      <c r="B102" s="5">
        <v>38464.608830819656</v>
      </c>
      <c r="C102" s="5" t="str">
        <f t="shared" si="1"/>
        <v>Friday</v>
      </c>
      <c r="D102" s="5" t="str">
        <f>TEXT(B102,"MMMM")</f>
        <v>April</v>
      </c>
      <c r="E102" s="5" t="str">
        <f>IFERROR(VLOOKUP(D102,monthseason,2,FALSE),"unknown")</f>
        <v>Spring</v>
      </c>
      <c r="F102" t="s">
        <v>36</v>
      </c>
      <c r="G102" t="str">
        <f>IFERROR(VLOOKUP(F102,citycountry,2,FALSE),"unknown")</f>
        <v>Portugal</v>
      </c>
      <c r="H102" t="s">
        <v>8</v>
      </c>
      <c r="I102" t="s">
        <v>26</v>
      </c>
      <c r="J102" t="s">
        <v>27</v>
      </c>
      <c r="K102" t="str">
        <f>IFERROR(VLOOKUP(J102,producttype,2,FALSE),"unknown")</f>
        <v>Cold</v>
      </c>
      <c r="L102">
        <v>460</v>
      </c>
      <c r="M102" s="2">
        <v>577.76</v>
      </c>
    </row>
    <row r="103" spans="2:13" x14ac:dyDescent="0.2">
      <c r="B103" s="5">
        <v>38568.760725125474</v>
      </c>
      <c r="C103" s="5" t="str">
        <f t="shared" si="1"/>
        <v>Thursday</v>
      </c>
      <c r="D103" s="5" t="str">
        <f>TEXT(B103,"MMMM")</f>
        <v>August</v>
      </c>
      <c r="E103" s="5" t="str">
        <f>IFERROR(VLOOKUP(D103,monthseason,2,FALSE),"unknown")</f>
        <v>Summer</v>
      </c>
      <c r="F103" t="s">
        <v>36</v>
      </c>
      <c r="G103" t="str">
        <f>IFERROR(VLOOKUP(F103,citycountry,2,FALSE),"unknown")</f>
        <v>Portugal</v>
      </c>
      <c r="H103" t="s">
        <v>16</v>
      </c>
      <c r="I103" t="s">
        <v>26</v>
      </c>
      <c r="J103" t="s">
        <v>27</v>
      </c>
      <c r="K103" t="str">
        <f>IFERROR(VLOOKUP(J103,producttype,2,FALSE),"unknown")</f>
        <v>Cold</v>
      </c>
      <c r="L103">
        <v>205</v>
      </c>
      <c r="M103" s="2">
        <v>269.55</v>
      </c>
    </row>
    <row r="104" spans="2:13" x14ac:dyDescent="0.2">
      <c r="B104" s="5">
        <v>38575.959010212937</v>
      </c>
      <c r="C104" s="5" t="str">
        <f t="shared" si="1"/>
        <v>Thursday</v>
      </c>
      <c r="D104" s="5" t="str">
        <f>TEXT(B104,"MMMM")</f>
        <v>August</v>
      </c>
      <c r="E104" s="5" t="str">
        <f>IFERROR(VLOOKUP(D104,monthseason,2,FALSE),"unknown")</f>
        <v>Summer</v>
      </c>
      <c r="F104" t="s">
        <v>36</v>
      </c>
      <c r="G104" t="str">
        <f>IFERROR(VLOOKUP(F104,citycountry,2,FALSE),"unknown")</f>
        <v>Portugal</v>
      </c>
      <c r="H104" t="s">
        <v>14</v>
      </c>
      <c r="I104" t="s">
        <v>26</v>
      </c>
      <c r="J104" t="s">
        <v>27</v>
      </c>
      <c r="K104" t="str">
        <f>IFERROR(VLOOKUP(J104,producttype,2,FALSE),"unknown")</f>
        <v>Cold</v>
      </c>
      <c r="L104">
        <v>805</v>
      </c>
      <c r="M104" s="2">
        <v>1025.08</v>
      </c>
    </row>
    <row r="105" spans="2:13" x14ac:dyDescent="0.2">
      <c r="B105" s="5">
        <v>38421.232308921921</v>
      </c>
      <c r="C105" s="5" t="str">
        <f t="shared" si="1"/>
        <v>Thursday</v>
      </c>
      <c r="D105" s="5" t="str">
        <f>TEXT(B105,"MMMM")</f>
        <v>March</v>
      </c>
      <c r="E105" s="5" t="str">
        <f>IFERROR(VLOOKUP(D105,monthseason,2,FALSE),"unknown")</f>
        <v>Spring</v>
      </c>
      <c r="F105" t="s">
        <v>36</v>
      </c>
      <c r="G105" t="str">
        <f>IFERROR(VLOOKUP(F105,citycountry,2,FALSE),"unknown")</f>
        <v>Portugal</v>
      </c>
      <c r="H105" t="s">
        <v>23</v>
      </c>
      <c r="I105" t="s">
        <v>26</v>
      </c>
      <c r="J105" t="s">
        <v>38</v>
      </c>
      <c r="K105" t="str">
        <f>IFERROR(VLOOKUP(J105,producttype,2,FALSE),"unknown")</f>
        <v>Hot</v>
      </c>
      <c r="L105">
        <v>135</v>
      </c>
      <c r="M105" s="2">
        <v>375.86</v>
      </c>
    </row>
    <row r="106" spans="2:13" x14ac:dyDescent="0.2">
      <c r="B106" s="5">
        <v>38466.725465985262</v>
      </c>
      <c r="C106" s="5" t="str">
        <f t="shared" si="1"/>
        <v>Sunday</v>
      </c>
      <c r="D106" s="5" t="str">
        <f>TEXT(B106,"MMMM")</f>
        <v>April</v>
      </c>
      <c r="E106" s="5" t="str">
        <f>IFERROR(VLOOKUP(D106,monthseason,2,FALSE),"unknown")</f>
        <v>Spring</v>
      </c>
      <c r="F106" t="s">
        <v>36</v>
      </c>
      <c r="G106" t="str">
        <f>IFERROR(VLOOKUP(F106,citycountry,2,FALSE),"unknown")</f>
        <v>Portugal</v>
      </c>
      <c r="H106" t="s">
        <v>16</v>
      </c>
      <c r="I106" t="s">
        <v>26</v>
      </c>
      <c r="J106" t="s">
        <v>38</v>
      </c>
      <c r="K106" t="str">
        <f>IFERROR(VLOOKUP(J106,producttype,2,FALSE),"unknown")</f>
        <v>Hot</v>
      </c>
      <c r="L106">
        <v>45</v>
      </c>
      <c r="M106" s="2">
        <v>129.35</v>
      </c>
    </row>
    <row r="107" spans="2:13" x14ac:dyDescent="0.2">
      <c r="B107" s="5">
        <v>38491.454904180093</v>
      </c>
      <c r="C107" s="5" t="str">
        <f t="shared" si="1"/>
        <v>Thursday</v>
      </c>
      <c r="D107" s="5" t="str">
        <f>TEXT(B107,"MMMM")</f>
        <v>May</v>
      </c>
      <c r="E107" s="5" t="str">
        <f>IFERROR(VLOOKUP(D107,monthseason,2,FALSE),"unknown")</f>
        <v>Spring</v>
      </c>
      <c r="F107" t="s">
        <v>36</v>
      </c>
      <c r="G107" t="str">
        <f>IFERROR(VLOOKUP(F107,citycountry,2,FALSE),"unknown")</f>
        <v>Portugal</v>
      </c>
      <c r="H107" t="s">
        <v>10</v>
      </c>
      <c r="I107" t="s">
        <v>26</v>
      </c>
      <c r="J107" t="s">
        <v>38</v>
      </c>
      <c r="K107" t="str">
        <f>IFERROR(VLOOKUP(J107,producttype,2,FALSE),"unknown")</f>
        <v>Hot</v>
      </c>
      <c r="L107">
        <v>905</v>
      </c>
      <c r="M107" s="2">
        <v>2643.57</v>
      </c>
    </row>
    <row r="108" spans="2:13" x14ac:dyDescent="0.2">
      <c r="B108" s="5">
        <v>38493.805518502711</v>
      </c>
      <c r="C108" s="5" t="str">
        <f t="shared" si="1"/>
        <v>Saturday</v>
      </c>
      <c r="D108" s="5" t="str">
        <f>TEXT(B108,"MMMM")</f>
        <v>May</v>
      </c>
      <c r="E108" s="5" t="str">
        <f>IFERROR(VLOOKUP(D108,monthseason,2,FALSE),"unknown")</f>
        <v>Spring</v>
      </c>
      <c r="F108" t="s">
        <v>36</v>
      </c>
      <c r="G108" t="str">
        <f>IFERROR(VLOOKUP(F108,citycountry,2,FALSE),"unknown")</f>
        <v>Portugal</v>
      </c>
      <c r="H108" t="s">
        <v>23</v>
      </c>
      <c r="I108" t="s">
        <v>26</v>
      </c>
      <c r="J108" t="s">
        <v>38</v>
      </c>
      <c r="K108" t="str">
        <f>IFERROR(VLOOKUP(J108,producttype,2,FALSE),"unknown")</f>
        <v>Hot</v>
      </c>
      <c r="L108">
        <v>315</v>
      </c>
      <c r="M108" s="2">
        <v>2541.7800000000002</v>
      </c>
    </row>
    <row r="109" spans="2:13" x14ac:dyDescent="0.2">
      <c r="B109" s="5">
        <v>38494.851719791695</v>
      </c>
      <c r="C109" s="5" t="str">
        <f t="shared" si="1"/>
        <v>Sunday</v>
      </c>
      <c r="D109" s="5" t="str">
        <f>TEXT(B109,"MMMM")</f>
        <v>May</v>
      </c>
      <c r="E109" s="5" t="str">
        <f>IFERROR(VLOOKUP(D109,monthseason,2,FALSE),"unknown")</f>
        <v>Spring</v>
      </c>
      <c r="F109" t="s">
        <v>36</v>
      </c>
      <c r="G109" t="str">
        <f>IFERROR(VLOOKUP(F109,citycountry,2,FALSE),"unknown")</f>
        <v>Portugal</v>
      </c>
      <c r="H109" t="s">
        <v>22</v>
      </c>
      <c r="I109" t="s">
        <v>26</v>
      </c>
      <c r="J109" t="s">
        <v>38</v>
      </c>
      <c r="K109" t="str">
        <f>IFERROR(VLOOKUP(J109,producttype,2,FALSE),"unknown")</f>
        <v>Hot</v>
      </c>
      <c r="L109">
        <v>155</v>
      </c>
      <c r="M109" s="2">
        <v>439.51</v>
      </c>
    </row>
    <row r="110" spans="2:13" x14ac:dyDescent="0.2">
      <c r="B110" s="5">
        <v>38502.35382845714</v>
      </c>
      <c r="C110" s="5" t="str">
        <f t="shared" si="1"/>
        <v>Monday</v>
      </c>
      <c r="D110" s="5" t="str">
        <f>TEXT(B110,"MMMM")</f>
        <v>May</v>
      </c>
      <c r="E110" s="5" t="str">
        <f>IFERROR(VLOOKUP(D110,monthseason,2,FALSE),"unknown")</f>
        <v>Spring</v>
      </c>
      <c r="F110" t="s">
        <v>36</v>
      </c>
      <c r="G110" t="str">
        <f>IFERROR(VLOOKUP(F110,citycountry,2,FALSE),"unknown")</f>
        <v>Portugal</v>
      </c>
      <c r="H110" t="s">
        <v>6</v>
      </c>
      <c r="I110" t="s">
        <v>26</v>
      </c>
      <c r="J110" t="s">
        <v>38</v>
      </c>
      <c r="K110" t="str">
        <f>IFERROR(VLOOKUP(J110,producttype,2,FALSE),"unknown")</f>
        <v>Hot</v>
      </c>
      <c r="L110">
        <v>965</v>
      </c>
      <c r="M110" s="2">
        <v>2926.98</v>
      </c>
    </row>
    <row r="111" spans="2:13" x14ac:dyDescent="0.2">
      <c r="B111" s="5">
        <v>38438.420954070956</v>
      </c>
      <c r="C111" s="5" t="str">
        <f t="shared" si="1"/>
        <v>Sunday</v>
      </c>
      <c r="D111" s="5" t="str">
        <f>TEXT(B111,"MMMM")</f>
        <v>March</v>
      </c>
      <c r="E111" s="5" t="str">
        <f>IFERROR(VLOOKUP(D111,monthseason,2,FALSE),"unknown")</f>
        <v>Spring</v>
      </c>
      <c r="F111" t="s">
        <v>36</v>
      </c>
      <c r="G111" t="str">
        <f>IFERROR(VLOOKUP(F111,citycountry,2,FALSE),"unknown")</f>
        <v>Portugal</v>
      </c>
      <c r="H111" t="s">
        <v>9</v>
      </c>
      <c r="I111" t="s">
        <v>25</v>
      </c>
      <c r="J111" t="s">
        <v>39</v>
      </c>
      <c r="K111" t="str">
        <f>IFERROR(VLOOKUP(J111,producttype,2,FALSE),"unknown")</f>
        <v>Cold</v>
      </c>
      <c r="L111">
        <v>690</v>
      </c>
      <c r="M111" s="2">
        <v>270.58999999999997</v>
      </c>
    </row>
    <row r="112" spans="2:13" x14ac:dyDescent="0.2">
      <c r="B112" s="5">
        <v>38471.157995618254</v>
      </c>
      <c r="C112" s="5" t="str">
        <f t="shared" si="1"/>
        <v>Friday</v>
      </c>
      <c r="D112" s="5" t="str">
        <f>TEXT(B112,"MMMM")</f>
        <v>April</v>
      </c>
      <c r="E112" s="5" t="str">
        <f>IFERROR(VLOOKUP(D112,monthseason,2,FALSE),"unknown")</f>
        <v>Spring</v>
      </c>
      <c r="F112" t="s">
        <v>36</v>
      </c>
      <c r="G112" t="str">
        <f>IFERROR(VLOOKUP(F112,citycountry,2,FALSE),"unknown")</f>
        <v>Portugal</v>
      </c>
      <c r="H112" t="s">
        <v>15</v>
      </c>
      <c r="I112" t="s">
        <v>25</v>
      </c>
      <c r="J112" t="s">
        <v>39</v>
      </c>
      <c r="K112" t="str">
        <f>IFERROR(VLOOKUP(J112,producttype,2,FALSE),"unknown")</f>
        <v>Cold</v>
      </c>
      <c r="L112">
        <v>180</v>
      </c>
      <c r="M112" s="2">
        <v>117.2</v>
      </c>
    </row>
    <row r="113" spans="2:13" x14ac:dyDescent="0.2">
      <c r="B113" s="5">
        <v>38474.72661916275</v>
      </c>
      <c r="C113" s="5" t="str">
        <f t="shared" si="1"/>
        <v>Monday</v>
      </c>
      <c r="D113" s="5" t="str">
        <f>TEXT(B113,"MMMM")</f>
        <v>May</v>
      </c>
      <c r="E113" s="5" t="str">
        <f>IFERROR(VLOOKUP(D113,monthseason,2,FALSE),"unknown")</f>
        <v>Spring</v>
      </c>
      <c r="F113" t="s">
        <v>36</v>
      </c>
      <c r="G113" t="str">
        <f>IFERROR(VLOOKUP(F113,citycountry,2,FALSE),"unknown")</f>
        <v>Portugal</v>
      </c>
      <c r="H113" t="s">
        <v>19</v>
      </c>
      <c r="I113" t="s">
        <v>25</v>
      </c>
      <c r="J113" t="s">
        <v>39</v>
      </c>
      <c r="K113" t="str">
        <f>IFERROR(VLOOKUP(J113,producttype,2,FALSE),"unknown")</f>
        <v>Cold</v>
      </c>
      <c r="L113">
        <v>325</v>
      </c>
      <c r="M113" s="2">
        <v>289.42</v>
      </c>
    </row>
    <row r="114" spans="2:13" x14ac:dyDescent="0.2">
      <c r="B114" s="5">
        <v>38480.396278820219</v>
      </c>
      <c r="C114" s="5" t="str">
        <f t="shared" si="1"/>
        <v>Sunday</v>
      </c>
      <c r="D114" s="5" t="str">
        <f>TEXT(B114,"MMMM")</f>
        <v>May</v>
      </c>
      <c r="E114" s="5" t="str">
        <f>IFERROR(VLOOKUP(D114,monthseason,2,FALSE),"unknown")</f>
        <v>Spring</v>
      </c>
      <c r="F114" t="s">
        <v>36</v>
      </c>
      <c r="G114" t="str">
        <f>IFERROR(VLOOKUP(F114,citycountry,2,FALSE),"unknown")</f>
        <v>Portugal</v>
      </c>
      <c r="H114" t="s">
        <v>19</v>
      </c>
      <c r="I114" t="s">
        <v>25</v>
      </c>
      <c r="J114" t="s">
        <v>39</v>
      </c>
      <c r="K114" t="str">
        <f>IFERROR(VLOOKUP(J114,producttype,2,FALSE),"unknown")</f>
        <v>Cold</v>
      </c>
      <c r="L114">
        <v>615</v>
      </c>
      <c r="M114" s="2">
        <v>630.91999999999996</v>
      </c>
    </row>
    <row r="115" spans="2:13" x14ac:dyDescent="0.2">
      <c r="B115" s="5">
        <v>38503.371050115624</v>
      </c>
      <c r="C115" s="5" t="str">
        <f t="shared" si="1"/>
        <v>Tuesday</v>
      </c>
      <c r="D115" s="5" t="str">
        <f>TEXT(B115,"MMMM")</f>
        <v>May</v>
      </c>
      <c r="E115" s="5" t="str">
        <f>IFERROR(VLOOKUP(D115,monthseason,2,FALSE),"unknown")</f>
        <v>Spring</v>
      </c>
      <c r="F115" t="s">
        <v>36</v>
      </c>
      <c r="G115" t="str">
        <f>IFERROR(VLOOKUP(F115,citycountry,2,FALSE),"unknown")</f>
        <v>Portugal</v>
      </c>
      <c r="H115" t="s">
        <v>8</v>
      </c>
      <c r="I115" t="s">
        <v>25</v>
      </c>
      <c r="J115" t="s">
        <v>39</v>
      </c>
      <c r="K115" t="str">
        <f>IFERROR(VLOOKUP(J115,producttype,2,FALSE),"unknown")</f>
        <v>Cold</v>
      </c>
      <c r="L115">
        <v>510</v>
      </c>
      <c r="M115" s="2">
        <v>344.06</v>
      </c>
    </row>
    <row r="116" spans="2:13" x14ac:dyDescent="0.2">
      <c r="B116" s="5">
        <v>38503.869903854546</v>
      </c>
      <c r="C116" s="5" t="str">
        <f t="shared" si="1"/>
        <v>Tuesday</v>
      </c>
      <c r="D116" s="5" t="str">
        <f>TEXT(B116,"MMMM")</f>
        <v>May</v>
      </c>
      <c r="E116" s="5" t="str">
        <f>IFERROR(VLOOKUP(D116,monthseason,2,FALSE),"unknown")</f>
        <v>Spring</v>
      </c>
      <c r="F116" t="s">
        <v>36</v>
      </c>
      <c r="G116" t="str">
        <f>IFERROR(VLOOKUP(F116,citycountry,2,FALSE),"unknown")</f>
        <v>Portugal</v>
      </c>
      <c r="H116" t="s">
        <v>20</v>
      </c>
      <c r="I116" t="s">
        <v>25</v>
      </c>
      <c r="J116" t="s">
        <v>39</v>
      </c>
      <c r="K116" t="str">
        <f>IFERROR(VLOOKUP(J116,producttype,2,FALSE),"unknown")</f>
        <v>Cold</v>
      </c>
      <c r="L116">
        <v>830</v>
      </c>
      <c r="M116" s="2">
        <v>604.64</v>
      </c>
    </row>
    <row r="117" spans="2:13" x14ac:dyDescent="0.2">
      <c r="B117" s="5">
        <v>38504.067585266901</v>
      </c>
      <c r="C117" s="5" t="str">
        <f t="shared" si="1"/>
        <v>Wednesday</v>
      </c>
      <c r="D117" s="5" t="str">
        <f>TEXT(B117,"MMMM")</f>
        <v>June</v>
      </c>
      <c r="E117" s="5" t="str">
        <f>IFERROR(VLOOKUP(D117,monthseason,2,FALSE),"unknown")</f>
        <v>Summer</v>
      </c>
      <c r="F117" t="s">
        <v>36</v>
      </c>
      <c r="G117" t="str">
        <f>IFERROR(VLOOKUP(F117,citycountry,2,FALSE),"unknown")</f>
        <v>Portugal</v>
      </c>
      <c r="H117" t="s">
        <v>5</v>
      </c>
      <c r="I117" t="s">
        <v>25</v>
      </c>
      <c r="J117" t="s">
        <v>43</v>
      </c>
      <c r="K117" t="str">
        <f>IFERROR(VLOOKUP(J117,producttype,2,FALSE),"unknown")</f>
        <v>Hot</v>
      </c>
      <c r="L117">
        <v>495</v>
      </c>
      <c r="M117" s="2">
        <v>1768.32</v>
      </c>
    </row>
    <row r="118" spans="2:13" x14ac:dyDescent="0.2">
      <c r="B118" s="5">
        <v>38534.405624520019</v>
      </c>
      <c r="C118" s="5" t="str">
        <f t="shared" si="1"/>
        <v>Friday</v>
      </c>
      <c r="D118" s="5" t="str">
        <f>TEXT(B118,"MMMM")</f>
        <v>July</v>
      </c>
      <c r="E118" s="5" t="str">
        <f>IFERROR(VLOOKUP(D118,monthseason,2,FALSE),"unknown")</f>
        <v>Summer</v>
      </c>
      <c r="F118" t="s">
        <v>36</v>
      </c>
      <c r="G118" t="str">
        <f>IFERROR(VLOOKUP(F118,citycountry,2,FALSE),"unknown")</f>
        <v>Portugal</v>
      </c>
      <c r="H118" t="s">
        <v>18</v>
      </c>
      <c r="I118" t="s">
        <v>25</v>
      </c>
      <c r="J118" t="s">
        <v>43</v>
      </c>
      <c r="K118" t="str">
        <f>IFERROR(VLOOKUP(J118,producttype,2,FALSE),"unknown")</f>
        <v>Hot</v>
      </c>
      <c r="L118">
        <v>880</v>
      </c>
      <c r="M118" s="2">
        <v>3241.56</v>
      </c>
    </row>
    <row r="119" spans="2:13" x14ac:dyDescent="0.2">
      <c r="B119" s="5">
        <v>38497.305965282452</v>
      </c>
      <c r="C119" s="5" t="str">
        <f t="shared" si="1"/>
        <v>Wednesday</v>
      </c>
      <c r="D119" s="5" t="str">
        <f>TEXT(B119,"MMMM")</f>
        <v>May</v>
      </c>
      <c r="E119" s="5" t="str">
        <f>IFERROR(VLOOKUP(D119,monthseason,2,FALSE),"unknown")</f>
        <v>Spring</v>
      </c>
      <c r="F119" t="s">
        <v>36</v>
      </c>
      <c r="G119" t="str">
        <f>IFERROR(VLOOKUP(F119,citycountry,2,FALSE),"unknown")</f>
        <v>Portugal</v>
      </c>
      <c r="H119" t="s">
        <v>19</v>
      </c>
      <c r="I119" t="s">
        <v>25</v>
      </c>
      <c r="J119" t="s">
        <v>27</v>
      </c>
      <c r="K119" t="str">
        <f>IFERROR(VLOOKUP(J119,producttype,2,FALSE),"unknown")</f>
        <v>Cold</v>
      </c>
      <c r="L119">
        <v>685</v>
      </c>
      <c r="M119" s="2">
        <v>1443.07</v>
      </c>
    </row>
    <row r="120" spans="2:13" x14ac:dyDescent="0.2">
      <c r="B120" s="5">
        <v>38501.869321122882</v>
      </c>
      <c r="C120" s="5" t="str">
        <f t="shared" si="1"/>
        <v>Sunday</v>
      </c>
      <c r="D120" s="5" t="str">
        <f>TEXT(B120,"MMMM")</f>
        <v>May</v>
      </c>
      <c r="E120" s="5" t="str">
        <f>IFERROR(VLOOKUP(D120,monthseason,2,FALSE),"unknown")</f>
        <v>Spring</v>
      </c>
      <c r="F120" t="s">
        <v>36</v>
      </c>
      <c r="G120" t="str">
        <f>IFERROR(VLOOKUP(F120,citycountry,2,FALSE),"unknown")</f>
        <v>Portugal</v>
      </c>
      <c r="H120" t="s">
        <v>17</v>
      </c>
      <c r="I120" t="s">
        <v>25</v>
      </c>
      <c r="J120" t="s">
        <v>27</v>
      </c>
      <c r="K120" t="str">
        <f>IFERROR(VLOOKUP(J120,producttype,2,FALSE),"unknown")</f>
        <v>Cold</v>
      </c>
      <c r="L120">
        <v>375</v>
      </c>
      <c r="M120" s="2">
        <v>1090.97</v>
      </c>
    </row>
    <row r="121" spans="2:13" x14ac:dyDescent="0.2">
      <c r="B121" s="5">
        <v>38523.787206717177</v>
      </c>
      <c r="C121" s="5" t="str">
        <f t="shared" si="1"/>
        <v>Monday</v>
      </c>
      <c r="D121" s="5" t="str">
        <f>TEXT(B121,"MMMM")</f>
        <v>June</v>
      </c>
      <c r="E121" s="5" t="str">
        <f>IFERROR(VLOOKUP(D121,monthseason,2,FALSE),"unknown")</f>
        <v>Summer</v>
      </c>
      <c r="F121" t="s">
        <v>36</v>
      </c>
      <c r="G121" t="str">
        <f>IFERROR(VLOOKUP(F121,citycountry,2,FALSE),"unknown")</f>
        <v>Portugal</v>
      </c>
      <c r="H121" t="s">
        <v>10</v>
      </c>
      <c r="I121" t="s">
        <v>25</v>
      </c>
      <c r="J121" t="s">
        <v>27</v>
      </c>
      <c r="K121" t="str">
        <f>IFERROR(VLOOKUP(J121,producttype,2,FALSE),"unknown")</f>
        <v>Cold</v>
      </c>
      <c r="L121">
        <v>825</v>
      </c>
      <c r="M121" s="2">
        <v>3018.4</v>
      </c>
    </row>
    <row r="122" spans="2:13" x14ac:dyDescent="0.2">
      <c r="B122" s="5">
        <v>38452.064941210228</v>
      </c>
      <c r="C122" s="5" t="str">
        <f t="shared" si="1"/>
        <v>Sunday</v>
      </c>
      <c r="D122" s="5" t="str">
        <f>TEXT(B122,"MMMM")</f>
        <v>April</v>
      </c>
      <c r="E122" s="5" t="str">
        <f>IFERROR(VLOOKUP(D122,monthseason,2,FALSE),"unknown")</f>
        <v>Spring</v>
      </c>
      <c r="F122" t="s">
        <v>36</v>
      </c>
      <c r="G122" t="str">
        <f>IFERROR(VLOOKUP(F122,citycountry,2,FALSE),"unknown")</f>
        <v>Portugal</v>
      </c>
      <c r="H122" t="s">
        <v>18</v>
      </c>
      <c r="I122" t="s">
        <v>25</v>
      </c>
      <c r="J122" t="s">
        <v>38</v>
      </c>
      <c r="K122" t="str">
        <f>IFERROR(VLOOKUP(J122,producttype,2,FALSE),"unknown")</f>
        <v>Hot</v>
      </c>
      <c r="L122">
        <v>505</v>
      </c>
      <c r="M122" s="2">
        <v>2460.75</v>
      </c>
    </row>
    <row r="123" spans="2:13" x14ac:dyDescent="0.2">
      <c r="B123" s="5">
        <v>38551.74928573826</v>
      </c>
      <c r="C123" s="5" t="str">
        <f t="shared" si="1"/>
        <v>Monday</v>
      </c>
      <c r="D123" s="5" t="str">
        <f>TEXT(B123,"MMMM")</f>
        <v>July</v>
      </c>
      <c r="E123" s="5" t="str">
        <f>IFERROR(VLOOKUP(D123,monthseason,2,FALSE),"unknown")</f>
        <v>Summer</v>
      </c>
      <c r="F123" t="s">
        <v>36</v>
      </c>
      <c r="G123" t="str">
        <f>IFERROR(VLOOKUP(F123,citycountry,2,FALSE),"unknown")</f>
        <v>Portugal</v>
      </c>
      <c r="H123" t="s">
        <v>16</v>
      </c>
      <c r="I123" t="s">
        <v>29</v>
      </c>
      <c r="J123" t="s">
        <v>39</v>
      </c>
      <c r="K123" t="str">
        <f>IFERROR(VLOOKUP(J123,producttype,2,FALSE),"unknown")</f>
        <v>Cold</v>
      </c>
      <c r="L123">
        <v>310</v>
      </c>
      <c r="M123" s="2">
        <v>1006.79</v>
      </c>
    </row>
    <row r="124" spans="2:13" x14ac:dyDescent="0.2">
      <c r="B124" s="5">
        <v>38473.126848843436</v>
      </c>
      <c r="C124" s="5" t="str">
        <f t="shared" si="1"/>
        <v>Sunday</v>
      </c>
      <c r="D124" s="5" t="str">
        <f>TEXT(B124,"MMMM")</f>
        <v>May</v>
      </c>
      <c r="E124" s="5" t="str">
        <f>IFERROR(VLOOKUP(D124,monthseason,2,FALSE),"unknown")</f>
        <v>Spring</v>
      </c>
      <c r="F124" t="s">
        <v>36</v>
      </c>
      <c r="G124" t="str">
        <f>IFERROR(VLOOKUP(F124,citycountry,2,FALSE),"unknown")</f>
        <v>Portugal</v>
      </c>
      <c r="H124" t="s">
        <v>13</v>
      </c>
      <c r="I124" t="s">
        <v>29</v>
      </c>
      <c r="J124" t="s">
        <v>43</v>
      </c>
      <c r="K124" t="str">
        <f>IFERROR(VLOOKUP(J124,producttype,2,FALSE),"unknown")</f>
        <v>Hot</v>
      </c>
      <c r="L124">
        <v>675</v>
      </c>
      <c r="M124" s="2">
        <v>3922.58</v>
      </c>
    </row>
    <row r="125" spans="2:13" x14ac:dyDescent="0.2">
      <c r="B125" s="5">
        <v>38502.87906490692</v>
      </c>
      <c r="C125" s="5" t="str">
        <f t="shared" si="1"/>
        <v>Monday</v>
      </c>
      <c r="D125" s="5" t="str">
        <f>TEXT(B125,"MMMM")</f>
        <v>May</v>
      </c>
      <c r="E125" s="5" t="str">
        <f>IFERROR(VLOOKUP(D125,monthseason,2,FALSE),"unknown")</f>
        <v>Spring</v>
      </c>
      <c r="F125" t="s">
        <v>36</v>
      </c>
      <c r="G125" t="str">
        <f>IFERROR(VLOOKUP(F125,citycountry,2,FALSE),"unknown")</f>
        <v>Portugal</v>
      </c>
      <c r="H125" t="s">
        <v>9</v>
      </c>
      <c r="I125" t="s">
        <v>29</v>
      </c>
      <c r="J125" t="s">
        <v>43</v>
      </c>
      <c r="K125" t="str">
        <f>IFERROR(VLOOKUP(J125,producttype,2,FALSE),"unknown")</f>
        <v>Hot</v>
      </c>
      <c r="L125">
        <v>845</v>
      </c>
      <c r="M125" s="2">
        <v>1821.19</v>
      </c>
    </row>
    <row r="126" spans="2:13" x14ac:dyDescent="0.2">
      <c r="B126" s="5">
        <v>38508.094898498486</v>
      </c>
      <c r="C126" s="5" t="str">
        <f t="shared" si="1"/>
        <v>Sunday</v>
      </c>
      <c r="D126" s="5" t="str">
        <f>TEXT(B126,"MMMM")</f>
        <v>June</v>
      </c>
      <c r="E126" s="5" t="str">
        <f>IFERROR(VLOOKUP(D126,monthseason,2,FALSE),"unknown")</f>
        <v>Summer</v>
      </c>
      <c r="F126" t="s">
        <v>36</v>
      </c>
      <c r="G126" t="str">
        <f>IFERROR(VLOOKUP(F126,citycountry,2,FALSE),"unknown")</f>
        <v>Portugal</v>
      </c>
      <c r="H126" t="s">
        <v>13</v>
      </c>
      <c r="I126" t="s">
        <v>29</v>
      </c>
      <c r="J126" t="s">
        <v>43</v>
      </c>
      <c r="K126" t="str">
        <f>IFERROR(VLOOKUP(J126,producttype,2,FALSE),"unknown")</f>
        <v>Hot</v>
      </c>
      <c r="L126">
        <v>565</v>
      </c>
      <c r="M126" s="2">
        <v>2833.99</v>
      </c>
    </row>
    <row r="127" spans="2:13" x14ac:dyDescent="0.2">
      <c r="B127" s="5">
        <v>38448.469979821479</v>
      </c>
      <c r="C127" s="5" t="str">
        <f t="shared" si="1"/>
        <v>Wednesday</v>
      </c>
      <c r="D127" s="5" t="str">
        <f>TEXT(B127,"MMMM")</f>
        <v>April</v>
      </c>
      <c r="E127" s="5" t="str">
        <f>IFERROR(VLOOKUP(D127,monthseason,2,FALSE),"unknown")</f>
        <v>Spring</v>
      </c>
      <c r="F127" t="s">
        <v>36</v>
      </c>
      <c r="G127" t="str">
        <f>IFERROR(VLOOKUP(F127,citycountry,2,FALSE),"unknown")</f>
        <v>Portugal</v>
      </c>
      <c r="H127" t="s">
        <v>9</v>
      </c>
      <c r="I127" t="s">
        <v>29</v>
      </c>
      <c r="J127" t="s">
        <v>40</v>
      </c>
      <c r="K127" t="str">
        <f>IFERROR(VLOOKUP(J127,producttype,2,FALSE),"unknown")</f>
        <v>Hot</v>
      </c>
      <c r="L127">
        <v>915</v>
      </c>
      <c r="M127" s="2">
        <v>1724.92</v>
      </c>
    </row>
    <row r="128" spans="2:13" x14ac:dyDescent="0.2">
      <c r="B128" s="5">
        <v>38480.888645703089</v>
      </c>
      <c r="C128" s="5" t="str">
        <f t="shared" si="1"/>
        <v>Sunday</v>
      </c>
      <c r="D128" s="5" t="str">
        <f>TEXT(B128,"MMMM")</f>
        <v>May</v>
      </c>
      <c r="E128" s="5" t="str">
        <f>IFERROR(VLOOKUP(D128,monthseason,2,FALSE),"unknown")</f>
        <v>Spring</v>
      </c>
      <c r="F128" t="s">
        <v>36</v>
      </c>
      <c r="G128" t="str">
        <f>IFERROR(VLOOKUP(F128,citycountry,2,FALSE),"unknown")</f>
        <v>Portugal</v>
      </c>
      <c r="H128" t="s">
        <v>19</v>
      </c>
      <c r="I128" t="s">
        <v>29</v>
      </c>
      <c r="J128" t="s">
        <v>28</v>
      </c>
      <c r="K128" t="str">
        <f>IFERROR(VLOOKUP(J128,producttype,2,FALSE),"unknown")</f>
        <v>Hot</v>
      </c>
      <c r="L128">
        <v>480</v>
      </c>
      <c r="M128" s="2">
        <v>1222.76</v>
      </c>
    </row>
    <row r="129" spans="2:13" x14ac:dyDescent="0.2">
      <c r="B129" s="5">
        <v>38488.201433877191</v>
      </c>
      <c r="C129" s="5" t="str">
        <f t="shared" si="1"/>
        <v>Monday</v>
      </c>
      <c r="D129" s="5" t="str">
        <f>TEXT(B129,"MMMM")</f>
        <v>May</v>
      </c>
      <c r="E129" s="5" t="str">
        <f>IFERROR(VLOOKUP(D129,monthseason,2,FALSE),"unknown")</f>
        <v>Spring</v>
      </c>
      <c r="F129" t="s">
        <v>36</v>
      </c>
      <c r="G129" t="str">
        <f>IFERROR(VLOOKUP(F129,citycountry,2,FALSE),"unknown")</f>
        <v>Portugal</v>
      </c>
      <c r="H129" t="s">
        <v>19</v>
      </c>
      <c r="I129" t="s">
        <v>29</v>
      </c>
      <c r="J129" t="s">
        <v>28</v>
      </c>
      <c r="K129" t="str">
        <f>IFERROR(VLOOKUP(J129,producttype,2,FALSE),"unknown")</f>
        <v>Hot</v>
      </c>
      <c r="L129">
        <v>295</v>
      </c>
      <c r="M129" s="2">
        <v>1157.57</v>
      </c>
    </row>
    <row r="130" spans="2:13" x14ac:dyDescent="0.2">
      <c r="B130" s="5">
        <v>38431.436088493734</v>
      </c>
      <c r="C130" s="5" t="str">
        <f t="shared" si="1"/>
        <v>Sunday</v>
      </c>
      <c r="D130" s="5" t="str">
        <f>TEXT(B130,"MMMM")</f>
        <v>March</v>
      </c>
      <c r="E130" s="5" t="str">
        <f>IFERROR(VLOOKUP(D130,monthseason,2,FALSE),"unknown")</f>
        <v>Spring</v>
      </c>
      <c r="F130" t="s">
        <v>36</v>
      </c>
      <c r="G130" t="str">
        <f>IFERROR(VLOOKUP(F130,citycountry,2,FALSE),"unknown")</f>
        <v>Portugal</v>
      </c>
      <c r="H130" t="s">
        <v>5</v>
      </c>
      <c r="I130" t="s">
        <v>29</v>
      </c>
      <c r="J130" t="s">
        <v>41</v>
      </c>
      <c r="K130" t="str">
        <f>IFERROR(VLOOKUP(J130,producttype,2,FALSE),"unknown")</f>
        <v>Hot</v>
      </c>
      <c r="L130">
        <v>625</v>
      </c>
      <c r="M130" s="2">
        <v>1952.51</v>
      </c>
    </row>
    <row r="131" spans="2:13" x14ac:dyDescent="0.2">
      <c r="B131" s="5">
        <v>38478.967854057104</v>
      </c>
      <c r="C131" s="5" t="str">
        <f t="shared" si="1"/>
        <v>Friday</v>
      </c>
      <c r="D131" s="5" t="str">
        <f>TEXT(B131,"MMMM")</f>
        <v>May</v>
      </c>
      <c r="E131" s="5" t="str">
        <f>IFERROR(VLOOKUP(D131,monthseason,2,FALSE),"unknown")</f>
        <v>Spring</v>
      </c>
      <c r="F131" t="s">
        <v>36</v>
      </c>
      <c r="G131" t="str">
        <f>IFERROR(VLOOKUP(F131,citycountry,2,FALSE),"unknown")</f>
        <v>Portugal</v>
      </c>
      <c r="H131" t="s">
        <v>7</v>
      </c>
      <c r="I131" t="s">
        <v>29</v>
      </c>
      <c r="J131" t="s">
        <v>38</v>
      </c>
      <c r="K131" t="str">
        <f>IFERROR(VLOOKUP(J131,producttype,2,FALSE),"unknown")</f>
        <v>Hot</v>
      </c>
      <c r="L131">
        <v>395</v>
      </c>
      <c r="M131" s="2">
        <v>3047.01</v>
      </c>
    </row>
    <row r="132" spans="2:13" x14ac:dyDescent="0.2">
      <c r="B132" s="5">
        <v>38506.423691498007</v>
      </c>
      <c r="C132" s="5" t="str">
        <f t="shared" ref="C132:C195" si="2">TEXT(B132,"dddd")</f>
        <v>Friday</v>
      </c>
      <c r="D132" s="5" t="str">
        <f>TEXT(B132,"MMMM")</f>
        <v>June</v>
      </c>
      <c r="E132" s="5" t="str">
        <f>IFERROR(VLOOKUP(D132,monthseason,2,FALSE),"unknown")</f>
        <v>Summer</v>
      </c>
      <c r="F132" t="s">
        <v>37</v>
      </c>
      <c r="G132" t="str">
        <f>IFERROR(VLOOKUP(F132,citycountry,2,FALSE),"unknown")</f>
        <v>United Kingdom</v>
      </c>
      <c r="H132" t="s">
        <v>10</v>
      </c>
      <c r="I132" t="s">
        <v>35</v>
      </c>
      <c r="J132" t="s">
        <v>39</v>
      </c>
      <c r="K132" t="str">
        <f>IFERROR(VLOOKUP(J132,producttype,2,FALSE),"unknown")</f>
        <v>Cold</v>
      </c>
      <c r="L132">
        <v>220</v>
      </c>
      <c r="M132" s="2">
        <v>1355.42</v>
      </c>
    </row>
    <row r="133" spans="2:13" x14ac:dyDescent="0.2">
      <c r="B133" s="5">
        <v>38509.026757659543</v>
      </c>
      <c r="C133" s="5" t="str">
        <f t="shared" si="2"/>
        <v>Monday</v>
      </c>
      <c r="D133" s="5" t="str">
        <f>TEXT(B133,"MMMM")</f>
        <v>June</v>
      </c>
      <c r="E133" s="5" t="str">
        <f>IFERROR(VLOOKUP(D133,monthseason,2,FALSE),"unknown")</f>
        <v>Summer</v>
      </c>
      <c r="F133" t="s">
        <v>37</v>
      </c>
      <c r="G133" t="str">
        <f>IFERROR(VLOOKUP(F133,citycountry,2,FALSE),"unknown")</f>
        <v>United Kingdom</v>
      </c>
      <c r="H133" t="s">
        <v>15</v>
      </c>
      <c r="I133" t="s">
        <v>35</v>
      </c>
      <c r="J133" t="s">
        <v>39</v>
      </c>
      <c r="K133" t="str">
        <f>IFERROR(VLOOKUP(J133,producttype,2,FALSE),"unknown")</f>
        <v>Cold</v>
      </c>
      <c r="L133">
        <v>220</v>
      </c>
      <c r="M133" s="2">
        <v>230.43</v>
      </c>
    </row>
    <row r="134" spans="2:13" x14ac:dyDescent="0.2">
      <c r="B134" s="5">
        <v>38518.445572161916</v>
      </c>
      <c r="C134" s="5" t="str">
        <f t="shared" si="2"/>
        <v>Wednesday</v>
      </c>
      <c r="D134" s="5" t="str">
        <f>TEXT(B134,"MMMM")</f>
        <v>June</v>
      </c>
      <c r="E134" s="5" t="str">
        <f>IFERROR(VLOOKUP(D134,monthseason,2,FALSE),"unknown")</f>
        <v>Summer</v>
      </c>
      <c r="F134" t="s">
        <v>37</v>
      </c>
      <c r="G134" t="str">
        <f>IFERROR(VLOOKUP(F134,citycountry,2,FALSE),"unknown")</f>
        <v>United Kingdom</v>
      </c>
      <c r="H134" t="s">
        <v>14</v>
      </c>
      <c r="I134" t="s">
        <v>35</v>
      </c>
      <c r="J134" t="s">
        <v>39</v>
      </c>
      <c r="K134" t="str">
        <f>IFERROR(VLOOKUP(J134,producttype,2,FALSE),"unknown")</f>
        <v>Cold</v>
      </c>
      <c r="L134">
        <v>400</v>
      </c>
      <c r="M134" s="2">
        <v>272.69</v>
      </c>
    </row>
    <row r="135" spans="2:13" x14ac:dyDescent="0.2">
      <c r="B135" s="5">
        <v>38432.700973086314</v>
      </c>
      <c r="C135" s="5" t="str">
        <f t="shared" si="2"/>
        <v>Monday</v>
      </c>
      <c r="D135" s="5" t="str">
        <f>TEXT(B135,"MMMM")</f>
        <v>March</v>
      </c>
      <c r="E135" s="5" t="str">
        <f>IFERROR(VLOOKUP(D135,monthseason,2,FALSE),"unknown")</f>
        <v>Spring</v>
      </c>
      <c r="F135" t="s">
        <v>37</v>
      </c>
      <c r="G135" t="str">
        <f>IFERROR(VLOOKUP(F135,citycountry,2,FALSE),"unknown")</f>
        <v>United Kingdom</v>
      </c>
      <c r="H135" t="s">
        <v>17</v>
      </c>
      <c r="I135" t="s">
        <v>35</v>
      </c>
      <c r="J135" t="s">
        <v>43</v>
      </c>
      <c r="K135" t="str">
        <f>IFERROR(VLOOKUP(J135,producttype,2,FALSE),"unknown")</f>
        <v>Hot</v>
      </c>
      <c r="L135">
        <v>490</v>
      </c>
      <c r="M135" s="2">
        <v>2532.79</v>
      </c>
    </row>
    <row r="136" spans="2:13" x14ac:dyDescent="0.2">
      <c r="B136" s="5">
        <v>38524.953235074972</v>
      </c>
      <c r="C136" s="5" t="str">
        <f t="shared" si="2"/>
        <v>Tuesday</v>
      </c>
      <c r="D136" s="5" t="str">
        <f>TEXT(B136,"MMMM")</f>
        <v>June</v>
      </c>
      <c r="E136" s="5" t="str">
        <f>IFERROR(VLOOKUP(D136,monthseason,2,FALSE),"unknown")</f>
        <v>Summer</v>
      </c>
      <c r="F136" t="s">
        <v>37</v>
      </c>
      <c r="G136" t="str">
        <f>IFERROR(VLOOKUP(F136,citycountry,2,FALSE),"unknown")</f>
        <v>United Kingdom</v>
      </c>
      <c r="H136" t="s">
        <v>14</v>
      </c>
      <c r="I136" t="s">
        <v>35</v>
      </c>
      <c r="J136" t="s">
        <v>40</v>
      </c>
      <c r="K136" t="str">
        <f>IFERROR(VLOOKUP(J136,producttype,2,FALSE),"unknown")</f>
        <v>Hot</v>
      </c>
      <c r="L136">
        <v>980</v>
      </c>
      <c r="M136" s="2">
        <v>2116.87</v>
      </c>
    </row>
    <row r="137" spans="2:13" x14ac:dyDescent="0.2">
      <c r="B137" s="5">
        <v>38456.637867283607</v>
      </c>
      <c r="C137" s="5" t="str">
        <f t="shared" si="2"/>
        <v>Thursday</v>
      </c>
      <c r="D137" s="5" t="str">
        <f>TEXT(B137,"MMMM")</f>
        <v>April</v>
      </c>
      <c r="E137" s="5" t="str">
        <f>IFERROR(VLOOKUP(D137,monthseason,2,FALSE),"unknown")</f>
        <v>Spring</v>
      </c>
      <c r="F137" t="s">
        <v>37</v>
      </c>
      <c r="G137" t="str">
        <f>IFERROR(VLOOKUP(F137,citycountry,2,FALSE),"unknown")</f>
        <v>United Kingdom</v>
      </c>
      <c r="H137" t="s">
        <v>10</v>
      </c>
      <c r="I137" t="s">
        <v>35</v>
      </c>
      <c r="J137" t="s">
        <v>41</v>
      </c>
      <c r="K137" t="str">
        <f>IFERROR(VLOOKUP(J137,producttype,2,FALSE),"unknown")</f>
        <v>Hot</v>
      </c>
      <c r="L137">
        <v>410</v>
      </c>
      <c r="M137" s="2">
        <v>1281.69</v>
      </c>
    </row>
    <row r="138" spans="2:13" x14ac:dyDescent="0.2">
      <c r="B138" s="5">
        <v>38480.543916573995</v>
      </c>
      <c r="C138" s="5" t="str">
        <f t="shared" si="2"/>
        <v>Sunday</v>
      </c>
      <c r="D138" s="5" t="str">
        <f>TEXT(B138,"MMMM")</f>
        <v>May</v>
      </c>
      <c r="E138" s="5" t="str">
        <f>IFERROR(VLOOKUP(D138,monthseason,2,FALSE),"unknown")</f>
        <v>Spring</v>
      </c>
      <c r="F138" t="s">
        <v>37</v>
      </c>
      <c r="G138" t="str">
        <f>IFERROR(VLOOKUP(F138,citycountry,2,FALSE),"unknown")</f>
        <v>United Kingdom</v>
      </c>
      <c r="H138" t="s">
        <v>5</v>
      </c>
      <c r="I138" t="s">
        <v>35</v>
      </c>
      <c r="J138" t="s">
        <v>41</v>
      </c>
      <c r="K138" t="str">
        <f>IFERROR(VLOOKUP(J138,producttype,2,FALSE),"unknown")</f>
        <v>Hot</v>
      </c>
      <c r="L138">
        <v>30</v>
      </c>
      <c r="M138" s="2">
        <v>82.55</v>
      </c>
    </row>
    <row r="139" spans="2:13" x14ac:dyDescent="0.2">
      <c r="B139" s="5">
        <v>38580.917041127235</v>
      </c>
      <c r="C139" s="5" t="str">
        <f t="shared" si="2"/>
        <v>Tuesday</v>
      </c>
      <c r="D139" s="5" t="str">
        <f>TEXT(B139,"MMMM")</f>
        <v>August</v>
      </c>
      <c r="E139" s="5" t="str">
        <f>IFERROR(VLOOKUP(D139,monthseason,2,FALSE),"unknown")</f>
        <v>Summer</v>
      </c>
      <c r="F139" t="s">
        <v>37</v>
      </c>
      <c r="G139" t="str">
        <f>IFERROR(VLOOKUP(F139,citycountry,2,FALSE),"unknown")</f>
        <v>United Kingdom</v>
      </c>
      <c r="H139" t="s">
        <v>20</v>
      </c>
      <c r="I139" t="s">
        <v>35</v>
      </c>
      <c r="J139" t="s">
        <v>27</v>
      </c>
      <c r="K139" t="str">
        <f>IFERROR(VLOOKUP(J139,producttype,2,FALSE),"unknown")</f>
        <v>Cold</v>
      </c>
      <c r="L139">
        <v>370</v>
      </c>
      <c r="M139" s="2">
        <v>2415.9299999999998</v>
      </c>
    </row>
    <row r="140" spans="2:13" x14ac:dyDescent="0.2">
      <c r="B140" s="5">
        <v>38482.844881140394</v>
      </c>
      <c r="C140" s="5" t="str">
        <f t="shared" si="2"/>
        <v>Tuesday</v>
      </c>
      <c r="D140" s="5" t="str">
        <f>TEXT(B140,"MMMM")</f>
        <v>May</v>
      </c>
      <c r="E140" s="5" t="str">
        <f>IFERROR(VLOOKUP(D140,monthseason,2,FALSE),"unknown")</f>
        <v>Spring</v>
      </c>
      <c r="F140" t="s">
        <v>37</v>
      </c>
      <c r="G140" t="str">
        <f>IFERROR(VLOOKUP(F140,citycountry,2,FALSE),"unknown")</f>
        <v>United Kingdom</v>
      </c>
      <c r="H140" t="s">
        <v>11</v>
      </c>
      <c r="I140" t="s">
        <v>35</v>
      </c>
      <c r="J140" t="s">
        <v>38</v>
      </c>
      <c r="K140" t="str">
        <f>IFERROR(VLOOKUP(J140,producttype,2,FALSE),"unknown")</f>
        <v>Hot</v>
      </c>
      <c r="L140">
        <v>485</v>
      </c>
      <c r="M140" s="2">
        <v>3271.49</v>
      </c>
    </row>
    <row r="141" spans="2:13" x14ac:dyDescent="0.2">
      <c r="B141" s="5">
        <v>38407.489452039452</v>
      </c>
      <c r="C141" s="5" t="str">
        <f t="shared" si="2"/>
        <v>Thursday</v>
      </c>
      <c r="D141" s="5" t="str">
        <f>TEXT(B141,"MMMM")</f>
        <v>February</v>
      </c>
      <c r="E141" s="5" t="str">
        <f>IFERROR(VLOOKUP(D141,monthseason,2,FALSE),"unknown")</f>
        <v>Winter</v>
      </c>
      <c r="F141" t="s">
        <v>37</v>
      </c>
      <c r="G141" t="str">
        <f>IFERROR(VLOOKUP(F141,citycountry,2,FALSE),"unknown")</f>
        <v>United Kingdom</v>
      </c>
      <c r="H141" t="s">
        <v>21</v>
      </c>
      <c r="I141" t="s">
        <v>26</v>
      </c>
      <c r="J141" t="s">
        <v>39</v>
      </c>
      <c r="K141" t="str">
        <f>IFERROR(VLOOKUP(J141,producttype,2,FALSE),"unknown")</f>
        <v>Cold</v>
      </c>
      <c r="L141">
        <v>250</v>
      </c>
      <c r="M141" s="2">
        <v>224.9</v>
      </c>
    </row>
    <row r="142" spans="2:13" x14ac:dyDescent="0.2">
      <c r="B142" s="5">
        <v>38489.026619189033</v>
      </c>
      <c r="C142" s="5" t="str">
        <f t="shared" si="2"/>
        <v>Tuesday</v>
      </c>
      <c r="D142" s="5" t="str">
        <f>TEXT(B142,"MMMM")</f>
        <v>May</v>
      </c>
      <c r="E142" s="5" t="str">
        <f>IFERROR(VLOOKUP(D142,monthseason,2,FALSE),"unknown")</f>
        <v>Spring</v>
      </c>
      <c r="F142" t="s">
        <v>37</v>
      </c>
      <c r="G142" t="str">
        <f>IFERROR(VLOOKUP(F142,citycountry,2,FALSE),"unknown")</f>
        <v>United Kingdom</v>
      </c>
      <c r="H142" t="s">
        <v>5</v>
      </c>
      <c r="I142" t="s">
        <v>26</v>
      </c>
      <c r="J142" t="s">
        <v>39</v>
      </c>
      <c r="K142" t="str">
        <f>IFERROR(VLOOKUP(J142,producttype,2,FALSE),"unknown")</f>
        <v>Cold</v>
      </c>
      <c r="L142">
        <v>410</v>
      </c>
      <c r="M142" s="2">
        <v>402.73</v>
      </c>
    </row>
    <row r="143" spans="2:13" x14ac:dyDescent="0.2">
      <c r="B143" s="5">
        <v>38585.12882853442</v>
      </c>
      <c r="C143" s="5" t="str">
        <f t="shared" si="2"/>
        <v>Sunday</v>
      </c>
      <c r="D143" s="5" t="str">
        <f>TEXT(B143,"MMMM")</f>
        <v>August</v>
      </c>
      <c r="E143" s="5" t="str">
        <f>IFERROR(VLOOKUP(D143,monthseason,2,FALSE),"unknown")</f>
        <v>Summer</v>
      </c>
      <c r="F143" t="s">
        <v>37</v>
      </c>
      <c r="G143" t="str">
        <f>IFERROR(VLOOKUP(F143,citycountry,2,FALSE),"unknown")</f>
        <v>United Kingdom</v>
      </c>
      <c r="H143" t="s">
        <v>15</v>
      </c>
      <c r="I143" t="s">
        <v>26</v>
      </c>
      <c r="J143" t="s">
        <v>39</v>
      </c>
      <c r="K143" t="str">
        <f>IFERROR(VLOOKUP(J143,producttype,2,FALSE),"unknown")</f>
        <v>Cold</v>
      </c>
      <c r="L143">
        <v>150</v>
      </c>
      <c r="M143" s="2">
        <v>66.41</v>
      </c>
    </row>
    <row r="144" spans="2:13" x14ac:dyDescent="0.2">
      <c r="B144" s="5">
        <v>38444.675799187506</v>
      </c>
      <c r="C144" s="5" t="str">
        <f t="shared" si="2"/>
        <v>Saturday</v>
      </c>
      <c r="D144" s="5" t="str">
        <f>TEXT(B144,"MMMM")</f>
        <v>April</v>
      </c>
      <c r="E144" s="5" t="str">
        <f>IFERROR(VLOOKUP(D144,monthseason,2,FALSE),"unknown")</f>
        <v>Spring</v>
      </c>
      <c r="F144" t="s">
        <v>37</v>
      </c>
      <c r="G144" t="str">
        <f>IFERROR(VLOOKUP(F144,citycountry,2,FALSE),"unknown")</f>
        <v>United Kingdom</v>
      </c>
      <c r="H144" t="s">
        <v>11</v>
      </c>
      <c r="I144" t="s">
        <v>26</v>
      </c>
      <c r="J144" t="s">
        <v>43</v>
      </c>
      <c r="K144" t="str">
        <f>IFERROR(VLOOKUP(J144,producttype,2,FALSE),"unknown")</f>
        <v>Hot</v>
      </c>
      <c r="L144">
        <v>320</v>
      </c>
      <c r="M144" s="2">
        <v>684.31</v>
      </c>
    </row>
    <row r="145" spans="2:13" x14ac:dyDescent="0.2">
      <c r="B145" s="5">
        <v>38471.583454599044</v>
      </c>
      <c r="C145" s="5" t="str">
        <f t="shared" si="2"/>
        <v>Friday</v>
      </c>
      <c r="D145" s="5" t="str">
        <f>TEXT(B145,"MMMM")</f>
        <v>April</v>
      </c>
      <c r="E145" s="5" t="str">
        <f>IFERROR(VLOOKUP(D145,monthseason,2,FALSE),"unknown")</f>
        <v>Spring</v>
      </c>
      <c r="F145" t="s">
        <v>37</v>
      </c>
      <c r="G145" t="str">
        <f>IFERROR(VLOOKUP(F145,citycountry,2,FALSE),"unknown")</f>
        <v>United Kingdom</v>
      </c>
      <c r="H145" t="s">
        <v>8</v>
      </c>
      <c r="I145" t="s">
        <v>26</v>
      </c>
      <c r="J145" t="s">
        <v>43</v>
      </c>
      <c r="K145" t="str">
        <f>IFERROR(VLOOKUP(J145,producttype,2,FALSE),"unknown")</f>
        <v>Hot</v>
      </c>
      <c r="L145">
        <v>960</v>
      </c>
      <c r="M145" s="2">
        <v>2058.7800000000002</v>
      </c>
    </row>
    <row r="146" spans="2:13" x14ac:dyDescent="0.2">
      <c r="B146" s="5">
        <v>38470.45182493695</v>
      </c>
      <c r="C146" s="5" t="str">
        <f t="shared" si="2"/>
        <v>Thursday</v>
      </c>
      <c r="D146" s="5" t="str">
        <f>TEXT(B146,"MMMM")</f>
        <v>April</v>
      </c>
      <c r="E146" s="5" t="str">
        <f>IFERROR(VLOOKUP(D146,monthseason,2,FALSE),"unknown")</f>
        <v>Spring</v>
      </c>
      <c r="F146" t="s">
        <v>37</v>
      </c>
      <c r="G146" t="str">
        <f>IFERROR(VLOOKUP(F146,citycountry,2,FALSE),"unknown")</f>
        <v>United Kingdom</v>
      </c>
      <c r="H146" t="s">
        <v>6</v>
      </c>
      <c r="I146" t="s">
        <v>26</v>
      </c>
      <c r="J146" t="s">
        <v>40</v>
      </c>
      <c r="K146" t="str">
        <f>IFERROR(VLOOKUP(J146,producttype,2,FALSE),"unknown")</f>
        <v>Hot</v>
      </c>
      <c r="L146">
        <v>390</v>
      </c>
      <c r="M146" s="2">
        <v>349.98</v>
      </c>
    </row>
    <row r="147" spans="2:13" x14ac:dyDescent="0.2">
      <c r="B147" s="5">
        <v>38481.896485581769</v>
      </c>
      <c r="C147" s="5" t="str">
        <f t="shared" si="2"/>
        <v>Monday</v>
      </c>
      <c r="D147" s="5" t="str">
        <f>TEXT(B147,"MMMM")</f>
        <v>May</v>
      </c>
      <c r="E147" s="5" t="str">
        <f>IFERROR(VLOOKUP(D147,monthseason,2,FALSE),"unknown")</f>
        <v>Spring</v>
      </c>
      <c r="F147" t="s">
        <v>37</v>
      </c>
      <c r="G147" t="str">
        <f>IFERROR(VLOOKUP(F147,citycountry,2,FALSE),"unknown")</f>
        <v>United Kingdom</v>
      </c>
      <c r="H147" t="s">
        <v>21</v>
      </c>
      <c r="I147" t="s">
        <v>26</v>
      </c>
      <c r="J147" t="s">
        <v>40</v>
      </c>
      <c r="K147" t="str">
        <f>IFERROR(VLOOKUP(J147,producttype,2,FALSE),"unknown")</f>
        <v>Hot</v>
      </c>
      <c r="L147">
        <v>365</v>
      </c>
      <c r="M147" s="2">
        <v>794.97</v>
      </c>
    </row>
    <row r="148" spans="2:13" x14ac:dyDescent="0.2">
      <c r="B148" s="5">
        <v>38577.158143721506</v>
      </c>
      <c r="C148" s="5" t="str">
        <f t="shared" si="2"/>
        <v>Saturday</v>
      </c>
      <c r="D148" s="5" t="str">
        <f>TEXT(B148,"MMMM")</f>
        <v>August</v>
      </c>
      <c r="E148" s="5" t="str">
        <f>IFERROR(VLOOKUP(D148,monthseason,2,FALSE),"unknown")</f>
        <v>Summer</v>
      </c>
      <c r="F148" t="s">
        <v>37</v>
      </c>
      <c r="G148" t="str">
        <f>IFERROR(VLOOKUP(F148,citycountry,2,FALSE),"unknown")</f>
        <v>United Kingdom</v>
      </c>
      <c r="H148" t="s">
        <v>11</v>
      </c>
      <c r="I148" t="s">
        <v>26</v>
      </c>
      <c r="J148" t="s">
        <v>28</v>
      </c>
      <c r="K148" t="str">
        <f>IFERROR(VLOOKUP(J148,producttype,2,FALSE),"unknown")</f>
        <v>Hot</v>
      </c>
      <c r="L148">
        <v>710</v>
      </c>
      <c r="M148" s="2">
        <v>1124.5</v>
      </c>
    </row>
    <row r="149" spans="2:13" x14ac:dyDescent="0.2">
      <c r="B149" s="5">
        <v>38435.148331771787</v>
      </c>
      <c r="C149" s="5" t="str">
        <f t="shared" si="2"/>
        <v>Thursday</v>
      </c>
      <c r="D149" s="5" t="str">
        <f>TEXT(B149,"MMMM")</f>
        <v>March</v>
      </c>
      <c r="E149" s="5" t="str">
        <f>IFERROR(VLOOKUP(D149,monthseason,2,FALSE),"unknown")</f>
        <v>Spring</v>
      </c>
      <c r="F149" t="s">
        <v>37</v>
      </c>
      <c r="G149" t="str">
        <f>IFERROR(VLOOKUP(F149,citycountry,2,FALSE),"unknown")</f>
        <v>United Kingdom</v>
      </c>
      <c r="H149" t="s">
        <v>23</v>
      </c>
      <c r="I149" t="s">
        <v>26</v>
      </c>
      <c r="J149" t="s">
        <v>41</v>
      </c>
      <c r="K149" t="str">
        <f>IFERROR(VLOOKUP(J149,producttype,2,FALSE),"unknown")</f>
        <v>Hot</v>
      </c>
      <c r="L149">
        <v>195</v>
      </c>
      <c r="M149" s="2">
        <v>381.22</v>
      </c>
    </row>
    <row r="150" spans="2:13" x14ac:dyDescent="0.2">
      <c r="B150" s="5">
        <v>38458.96712754928</v>
      </c>
      <c r="C150" s="5" t="str">
        <f t="shared" si="2"/>
        <v>Saturday</v>
      </c>
      <c r="D150" s="5" t="str">
        <f>TEXT(B150,"MMMM")</f>
        <v>April</v>
      </c>
      <c r="E150" s="5" t="str">
        <f>IFERROR(VLOOKUP(D150,monthseason,2,FALSE),"unknown")</f>
        <v>Spring</v>
      </c>
      <c r="F150" t="s">
        <v>37</v>
      </c>
      <c r="G150" t="str">
        <f>IFERROR(VLOOKUP(F150,citycountry,2,FALSE),"unknown")</f>
        <v>United Kingdom</v>
      </c>
      <c r="H150" t="s">
        <v>22</v>
      </c>
      <c r="I150" t="s">
        <v>26</v>
      </c>
      <c r="J150" t="s">
        <v>27</v>
      </c>
      <c r="K150" t="str">
        <f>IFERROR(VLOOKUP(J150,producttype,2,FALSE),"unknown")</f>
        <v>Cold</v>
      </c>
      <c r="L150">
        <v>830</v>
      </c>
      <c r="M150" s="2">
        <v>949.91</v>
      </c>
    </row>
    <row r="151" spans="2:13" x14ac:dyDescent="0.2">
      <c r="B151" s="5">
        <v>38485.253092596511</v>
      </c>
      <c r="C151" s="5" t="str">
        <f t="shared" si="2"/>
        <v>Friday</v>
      </c>
      <c r="D151" s="5" t="str">
        <f>TEXT(B151,"MMMM")</f>
        <v>May</v>
      </c>
      <c r="E151" s="5" t="str">
        <f>IFERROR(VLOOKUP(D151,monthseason,2,FALSE),"unknown")</f>
        <v>Spring</v>
      </c>
      <c r="F151" t="s">
        <v>37</v>
      </c>
      <c r="G151" t="str">
        <f>IFERROR(VLOOKUP(F151,citycountry,2,FALSE),"unknown")</f>
        <v>United Kingdom</v>
      </c>
      <c r="H151" t="s">
        <v>6</v>
      </c>
      <c r="I151" t="s">
        <v>26</v>
      </c>
      <c r="J151" t="s">
        <v>27</v>
      </c>
      <c r="K151" t="str">
        <f>IFERROR(VLOOKUP(J151,producttype,2,FALSE),"unknown")</f>
        <v>Cold</v>
      </c>
      <c r="L151">
        <v>655</v>
      </c>
      <c r="M151" s="2">
        <v>799.73</v>
      </c>
    </row>
    <row r="152" spans="2:13" x14ac:dyDescent="0.2">
      <c r="B152" s="5">
        <v>38477.597364538713</v>
      </c>
      <c r="C152" s="5" t="str">
        <f t="shared" si="2"/>
        <v>Thursday</v>
      </c>
      <c r="D152" s="5" t="str">
        <f>TEXT(B152,"MMMM")</f>
        <v>May</v>
      </c>
      <c r="E152" s="5" t="str">
        <f>IFERROR(VLOOKUP(D152,monthseason,2,FALSE),"unknown")</f>
        <v>Spring</v>
      </c>
      <c r="F152" t="s">
        <v>37</v>
      </c>
      <c r="G152" t="str">
        <f>IFERROR(VLOOKUP(F152,citycountry,2,FALSE),"unknown")</f>
        <v>United Kingdom</v>
      </c>
      <c r="H152" t="s">
        <v>6</v>
      </c>
      <c r="I152" t="s">
        <v>26</v>
      </c>
      <c r="J152" t="s">
        <v>38</v>
      </c>
      <c r="K152" t="str">
        <f>IFERROR(VLOOKUP(J152,producttype,2,FALSE),"unknown")</f>
        <v>Hot</v>
      </c>
      <c r="L152">
        <v>460</v>
      </c>
      <c r="M152" s="2">
        <v>1250.32</v>
      </c>
    </row>
    <row r="153" spans="2:13" x14ac:dyDescent="0.2">
      <c r="B153" s="5">
        <v>38456.818680538738</v>
      </c>
      <c r="C153" s="5" t="str">
        <f t="shared" si="2"/>
        <v>Thursday</v>
      </c>
      <c r="D153" s="5" t="str">
        <f>TEXT(B153,"MMMM")</f>
        <v>April</v>
      </c>
      <c r="E153" s="5" t="str">
        <f>IFERROR(VLOOKUP(D153,monthseason,2,FALSE),"unknown")</f>
        <v>Spring</v>
      </c>
      <c r="F153" t="s">
        <v>37</v>
      </c>
      <c r="G153" t="str">
        <f>IFERROR(VLOOKUP(F153,citycountry,2,FALSE),"unknown")</f>
        <v>United Kingdom</v>
      </c>
      <c r="H153" t="s">
        <v>19</v>
      </c>
      <c r="I153" t="s">
        <v>25</v>
      </c>
      <c r="J153" t="s">
        <v>39</v>
      </c>
      <c r="K153" t="str">
        <f>IFERROR(VLOOKUP(J153,producttype,2,FALSE),"unknown")</f>
        <v>Cold</v>
      </c>
      <c r="L153">
        <v>905</v>
      </c>
      <c r="M153" s="2">
        <v>594.37</v>
      </c>
    </row>
    <row r="154" spans="2:13" x14ac:dyDescent="0.2">
      <c r="B154" s="5">
        <v>38470.007420889895</v>
      </c>
      <c r="C154" s="5" t="str">
        <f t="shared" si="2"/>
        <v>Thursday</v>
      </c>
      <c r="D154" s="5" t="str">
        <f>TEXT(B154,"MMMM")</f>
        <v>April</v>
      </c>
      <c r="E154" s="5" t="str">
        <f>IFERROR(VLOOKUP(D154,monthseason,2,FALSE),"unknown")</f>
        <v>Spring</v>
      </c>
      <c r="F154" t="s">
        <v>37</v>
      </c>
      <c r="G154" t="str">
        <f>IFERROR(VLOOKUP(F154,citycountry,2,FALSE),"unknown")</f>
        <v>United Kingdom</v>
      </c>
      <c r="H154" t="s">
        <v>12</v>
      </c>
      <c r="I154" t="s">
        <v>25</v>
      </c>
      <c r="J154" t="s">
        <v>39</v>
      </c>
      <c r="K154" t="str">
        <f>IFERROR(VLOOKUP(J154,producttype,2,FALSE),"unknown")</f>
        <v>Cold</v>
      </c>
      <c r="L154">
        <v>50</v>
      </c>
      <c r="M154" s="2">
        <v>36.869999999999997</v>
      </c>
    </row>
    <row r="155" spans="2:13" x14ac:dyDescent="0.2">
      <c r="B155" s="5">
        <v>38497.276219242434</v>
      </c>
      <c r="C155" s="5" t="str">
        <f t="shared" si="2"/>
        <v>Wednesday</v>
      </c>
      <c r="D155" s="5" t="str">
        <f>TEXT(B155,"MMMM")</f>
        <v>May</v>
      </c>
      <c r="E155" s="5" t="str">
        <f>IFERROR(VLOOKUP(D155,monthseason,2,FALSE),"unknown")</f>
        <v>Spring</v>
      </c>
      <c r="F155" t="s">
        <v>37</v>
      </c>
      <c r="G155" t="str">
        <f>IFERROR(VLOOKUP(F155,citycountry,2,FALSE),"unknown")</f>
        <v>United Kingdom</v>
      </c>
      <c r="H155" t="s">
        <v>15</v>
      </c>
      <c r="I155" t="s">
        <v>25</v>
      </c>
      <c r="J155" t="s">
        <v>39</v>
      </c>
      <c r="K155" t="str">
        <f>IFERROR(VLOOKUP(J155,producttype,2,FALSE),"unknown")</f>
        <v>Cold</v>
      </c>
      <c r="L155">
        <v>195</v>
      </c>
      <c r="M155" s="2">
        <v>422.67</v>
      </c>
    </row>
    <row r="156" spans="2:13" x14ac:dyDescent="0.2">
      <c r="B156" s="5">
        <v>38529.984614829948</v>
      </c>
      <c r="C156" s="5" t="str">
        <f t="shared" si="2"/>
        <v>Sunday</v>
      </c>
      <c r="D156" s="5" t="str">
        <f>TEXT(B156,"MMMM")</f>
        <v>June</v>
      </c>
      <c r="E156" s="5" t="str">
        <f>IFERROR(VLOOKUP(D156,monthseason,2,FALSE),"unknown")</f>
        <v>Summer</v>
      </c>
      <c r="F156" t="s">
        <v>37</v>
      </c>
      <c r="G156" t="str">
        <f>IFERROR(VLOOKUP(F156,citycountry,2,FALSE),"unknown")</f>
        <v>United Kingdom</v>
      </c>
      <c r="H156" t="s">
        <v>22</v>
      </c>
      <c r="I156" t="s">
        <v>25</v>
      </c>
      <c r="J156" t="s">
        <v>39</v>
      </c>
      <c r="K156" t="str">
        <f>IFERROR(VLOOKUP(J156,producttype,2,FALSE),"unknown")</f>
        <v>Cold</v>
      </c>
      <c r="L156">
        <v>295</v>
      </c>
      <c r="M156" s="2">
        <v>215.16</v>
      </c>
    </row>
    <row r="157" spans="2:13" x14ac:dyDescent="0.2">
      <c r="B157" s="5">
        <v>38457.104672375455</v>
      </c>
      <c r="C157" s="5" t="str">
        <f t="shared" si="2"/>
        <v>Friday</v>
      </c>
      <c r="D157" s="5" t="str">
        <f>TEXT(B157,"MMMM")</f>
        <v>April</v>
      </c>
      <c r="E157" s="5" t="str">
        <f>IFERROR(VLOOKUP(D157,monthseason,2,FALSE),"unknown")</f>
        <v>Spring</v>
      </c>
      <c r="F157" t="s">
        <v>37</v>
      </c>
      <c r="G157" t="str">
        <f>IFERROR(VLOOKUP(F157,citycountry,2,FALSE),"unknown")</f>
        <v>United Kingdom</v>
      </c>
      <c r="H157" t="s">
        <v>16</v>
      </c>
      <c r="I157" t="s">
        <v>25</v>
      </c>
      <c r="J157" t="s">
        <v>43</v>
      </c>
      <c r="K157" t="str">
        <f>IFERROR(VLOOKUP(J157,producttype,2,FALSE),"unknown")</f>
        <v>Hot</v>
      </c>
      <c r="L157">
        <v>530</v>
      </c>
      <c r="M157" s="2">
        <v>1945.81</v>
      </c>
    </row>
    <row r="158" spans="2:13" x14ac:dyDescent="0.2">
      <c r="B158" s="5">
        <v>38470.886619232791</v>
      </c>
      <c r="C158" s="5" t="str">
        <f t="shared" si="2"/>
        <v>Thursday</v>
      </c>
      <c r="D158" s="5" t="str">
        <f>TEXT(B158,"MMMM")</f>
        <v>April</v>
      </c>
      <c r="E158" s="5" t="str">
        <f>IFERROR(VLOOKUP(D158,monthseason,2,FALSE),"unknown")</f>
        <v>Spring</v>
      </c>
      <c r="F158" t="s">
        <v>37</v>
      </c>
      <c r="G158" t="str">
        <f>IFERROR(VLOOKUP(F158,citycountry,2,FALSE),"unknown")</f>
        <v>United Kingdom</v>
      </c>
      <c r="H158" t="s">
        <v>18</v>
      </c>
      <c r="I158" t="s">
        <v>25</v>
      </c>
      <c r="J158" t="s">
        <v>43</v>
      </c>
      <c r="K158" t="str">
        <f>IFERROR(VLOOKUP(J158,producttype,2,FALSE),"unknown")</f>
        <v>Hot</v>
      </c>
      <c r="L158">
        <v>375</v>
      </c>
      <c r="M158" s="2">
        <v>1774.32</v>
      </c>
    </row>
    <row r="159" spans="2:13" x14ac:dyDescent="0.2">
      <c r="B159" s="5">
        <v>38461.583673806999</v>
      </c>
      <c r="C159" s="5" t="str">
        <f t="shared" si="2"/>
        <v>Tuesday</v>
      </c>
      <c r="D159" s="5" t="str">
        <f>TEXT(B159,"MMMM")</f>
        <v>April</v>
      </c>
      <c r="E159" s="5" t="str">
        <f>IFERROR(VLOOKUP(D159,monthseason,2,FALSE),"unknown")</f>
        <v>Spring</v>
      </c>
      <c r="F159" t="s">
        <v>37</v>
      </c>
      <c r="G159" t="str">
        <f>IFERROR(VLOOKUP(F159,citycountry,2,FALSE),"unknown")</f>
        <v>United Kingdom</v>
      </c>
      <c r="H159" t="s">
        <v>10</v>
      </c>
      <c r="I159" t="s">
        <v>25</v>
      </c>
      <c r="J159" t="s">
        <v>40</v>
      </c>
      <c r="K159" t="str">
        <f>IFERROR(VLOOKUP(J159,producttype,2,FALSE),"unknown")</f>
        <v>Hot</v>
      </c>
      <c r="L159">
        <v>920</v>
      </c>
      <c r="M159" s="2">
        <v>1346.2</v>
      </c>
    </row>
    <row r="160" spans="2:13" x14ac:dyDescent="0.2">
      <c r="B160" s="5">
        <v>38489.427218937948</v>
      </c>
      <c r="C160" s="5" t="str">
        <f t="shared" si="2"/>
        <v>Tuesday</v>
      </c>
      <c r="D160" s="5" t="str">
        <f>TEXT(B160,"MMMM")</f>
        <v>May</v>
      </c>
      <c r="E160" s="5" t="str">
        <f>IFERROR(VLOOKUP(D160,monthseason,2,FALSE),"unknown")</f>
        <v>Spring</v>
      </c>
      <c r="F160" t="s">
        <v>37</v>
      </c>
      <c r="G160" t="str">
        <f>IFERROR(VLOOKUP(F160,citycountry,2,FALSE),"unknown")</f>
        <v>United Kingdom</v>
      </c>
      <c r="H160" t="s">
        <v>10</v>
      </c>
      <c r="I160" t="s">
        <v>25</v>
      </c>
      <c r="J160" t="s">
        <v>28</v>
      </c>
      <c r="K160" t="str">
        <f>IFERROR(VLOOKUP(J160,producttype,2,FALSE),"unknown")</f>
        <v>Hot</v>
      </c>
      <c r="L160">
        <v>520</v>
      </c>
      <c r="M160" s="2">
        <v>1330.83</v>
      </c>
    </row>
    <row r="161" spans="2:13" x14ac:dyDescent="0.2">
      <c r="B161" s="5">
        <v>38498.715392262464</v>
      </c>
      <c r="C161" s="5" t="str">
        <f t="shared" si="2"/>
        <v>Thursday</v>
      </c>
      <c r="D161" s="5" t="str">
        <f>TEXT(B161,"MMMM")</f>
        <v>May</v>
      </c>
      <c r="E161" s="5" t="str">
        <f>IFERROR(VLOOKUP(D161,monthseason,2,FALSE),"unknown")</f>
        <v>Spring</v>
      </c>
      <c r="F161" t="s">
        <v>37</v>
      </c>
      <c r="G161" t="str">
        <f>IFERROR(VLOOKUP(F161,citycountry,2,FALSE),"unknown")</f>
        <v>United Kingdom</v>
      </c>
      <c r="H161" t="s">
        <v>18</v>
      </c>
      <c r="I161" t="s">
        <v>25</v>
      </c>
      <c r="J161" t="s">
        <v>28</v>
      </c>
      <c r="K161" t="str">
        <f>IFERROR(VLOOKUP(J161,producttype,2,FALSE),"unknown")</f>
        <v>Hot</v>
      </c>
      <c r="L161">
        <v>520</v>
      </c>
      <c r="M161" s="2">
        <v>2418.7199999999998</v>
      </c>
    </row>
    <row r="162" spans="2:13" x14ac:dyDescent="0.2">
      <c r="B162" s="5">
        <v>38524.580725806023</v>
      </c>
      <c r="C162" s="5" t="str">
        <f t="shared" si="2"/>
        <v>Tuesday</v>
      </c>
      <c r="D162" s="5" t="str">
        <f>TEXT(B162,"MMMM")</f>
        <v>June</v>
      </c>
      <c r="E162" s="5" t="str">
        <f>IFERROR(VLOOKUP(D162,monthseason,2,FALSE),"unknown")</f>
        <v>Summer</v>
      </c>
      <c r="F162" t="s">
        <v>37</v>
      </c>
      <c r="G162" t="str">
        <f>IFERROR(VLOOKUP(F162,citycountry,2,FALSE),"unknown")</f>
        <v>United Kingdom</v>
      </c>
      <c r="H162" t="s">
        <v>16</v>
      </c>
      <c r="I162" t="s">
        <v>25</v>
      </c>
      <c r="J162" t="s">
        <v>28</v>
      </c>
      <c r="K162" t="str">
        <f>IFERROR(VLOOKUP(J162,producttype,2,FALSE),"unknown")</f>
        <v>Hot</v>
      </c>
      <c r="L162">
        <v>955</v>
      </c>
      <c r="M162" s="2">
        <v>2580.19</v>
      </c>
    </row>
    <row r="163" spans="2:13" x14ac:dyDescent="0.2">
      <c r="B163" s="5">
        <v>38455.795931291883</v>
      </c>
      <c r="C163" s="5" t="str">
        <f t="shared" si="2"/>
        <v>Wednesday</v>
      </c>
      <c r="D163" s="5" t="str">
        <f>TEXT(B163,"MMMM")</f>
        <v>April</v>
      </c>
      <c r="E163" s="5" t="str">
        <f>IFERROR(VLOOKUP(D163,monthseason,2,FALSE),"unknown")</f>
        <v>Spring</v>
      </c>
      <c r="F163" t="s">
        <v>37</v>
      </c>
      <c r="G163" t="str">
        <f>IFERROR(VLOOKUP(F163,citycountry,2,FALSE),"unknown")</f>
        <v>United Kingdom</v>
      </c>
      <c r="H163" t="s">
        <v>16</v>
      </c>
      <c r="I163" t="s">
        <v>25</v>
      </c>
      <c r="J163" t="s">
        <v>41</v>
      </c>
      <c r="K163" t="str">
        <f>IFERROR(VLOOKUP(J163,producttype,2,FALSE),"unknown")</f>
        <v>Hot</v>
      </c>
      <c r="L163">
        <v>675</v>
      </c>
      <c r="M163" s="2">
        <v>1513.81</v>
      </c>
    </row>
    <row r="164" spans="2:13" x14ac:dyDescent="0.2">
      <c r="B164" s="5">
        <v>38483.018804945699</v>
      </c>
      <c r="C164" s="5" t="str">
        <f t="shared" si="2"/>
        <v>Wednesday</v>
      </c>
      <c r="D164" s="5" t="str">
        <f>TEXT(B164,"MMMM")</f>
        <v>May</v>
      </c>
      <c r="E164" s="5" t="str">
        <f>IFERROR(VLOOKUP(D164,monthseason,2,FALSE),"unknown")</f>
        <v>Spring</v>
      </c>
      <c r="F164" t="s">
        <v>37</v>
      </c>
      <c r="G164" t="str">
        <f>IFERROR(VLOOKUP(F164,citycountry,2,FALSE),"unknown")</f>
        <v>United Kingdom</v>
      </c>
      <c r="H164" t="s">
        <v>21</v>
      </c>
      <c r="I164" t="s">
        <v>25</v>
      </c>
      <c r="J164" t="s">
        <v>41</v>
      </c>
      <c r="K164" t="str">
        <f>IFERROR(VLOOKUP(J164,producttype,2,FALSE),"unknown")</f>
        <v>Hot</v>
      </c>
      <c r="L164">
        <v>400</v>
      </c>
      <c r="M164" s="2">
        <v>869.45</v>
      </c>
    </row>
    <row r="165" spans="2:13" x14ac:dyDescent="0.2">
      <c r="B165" s="5">
        <v>38489.633348071322</v>
      </c>
      <c r="C165" s="5" t="str">
        <f t="shared" si="2"/>
        <v>Tuesday</v>
      </c>
      <c r="D165" s="5" t="str">
        <f>TEXT(B165,"MMMM")</f>
        <v>May</v>
      </c>
      <c r="E165" s="5" t="str">
        <f>IFERROR(VLOOKUP(D165,monthseason,2,FALSE),"unknown")</f>
        <v>Spring</v>
      </c>
      <c r="F165" t="s">
        <v>37</v>
      </c>
      <c r="G165" t="str">
        <f>IFERROR(VLOOKUP(F165,citycountry,2,FALSE),"unknown")</f>
        <v>United Kingdom</v>
      </c>
      <c r="H165" t="s">
        <v>21</v>
      </c>
      <c r="I165" t="s">
        <v>25</v>
      </c>
      <c r="J165" t="s">
        <v>41</v>
      </c>
      <c r="K165" t="str">
        <f>IFERROR(VLOOKUP(J165,producttype,2,FALSE),"unknown")</f>
        <v>Hot</v>
      </c>
      <c r="L165">
        <v>730</v>
      </c>
      <c r="M165" s="2">
        <v>1488.03</v>
      </c>
    </row>
    <row r="166" spans="2:13" x14ac:dyDescent="0.2">
      <c r="B166" s="5">
        <v>38496.547692689717</v>
      </c>
      <c r="C166" s="5" t="str">
        <f t="shared" si="2"/>
        <v>Tuesday</v>
      </c>
      <c r="D166" s="5" t="str">
        <f>TEXT(B166,"MMMM")</f>
        <v>May</v>
      </c>
      <c r="E166" s="5" t="str">
        <f>IFERROR(VLOOKUP(D166,monthseason,2,FALSE),"unknown")</f>
        <v>Spring</v>
      </c>
      <c r="F166" t="s">
        <v>37</v>
      </c>
      <c r="G166" t="str">
        <f>IFERROR(VLOOKUP(F166,citycountry,2,FALSE),"unknown")</f>
        <v>United Kingdom</v>
      </c>
      <c r="H166" t="s">
        <v>17</v>
      </c>
      <c r="I166" t="s">
        <v>25</v>
      </c>
      <c r="J166" t="s">
        <v>41</v>
      </c>
      <c r="K166" t="str">
        <f>IFERROR(VLOOKUP(J166,producttype,2,FALSE),"unknown")</f>
        <v>Hot</v>
      </c>
      <c r="L166">
        <v>960</v>
      </c>
      <c r="M166" s="2">
        <v>2047.3</v>
      </c>
    </row>
    <row r="167" spans="2:13" x14ac:dyDescent="0.2">
      <c r="B167" s="5">
        <v>38517.756176619951</v>
      </c>
      <c r="C167" s="5" t="str">
        <f t="shared" si="2"/>
        <v>Tuesday</v>
      </c>
      <c r="D167" s="5" t="str">
        <f>TEXT(B167,"MMMM")</f>
        <v>June</v>
      </c>
      <c r="E167" s="5" t="str">
        <f>IFERROR(VLOOKUP(D167,monthseason,2,FALSE),"unknown")</f>
        <v>Summer</v>
      </c>
      <c r="F167" t="s">
        <v>37</v>
      </c>
      <c r="G167" t="str">
        <f>IFERROR(VLOOKUP(F167,citycountry,2,FALSE),"unknown")</f>
        <v>United Kingdom</v>
      </c>
      <c r="H167" t="s">
        <v>15</v>
      </c>
      <c r="I167" t="s">
        <v>25</v>
      </c>
      <c r="J167" t="s">
        <v>41</v>
      </c>
      <c r="K167" t="str">
        <f>IFERROR(VLOOKUP(J167,producttype,2,FALSE),"unknown")</f>
        <v>Hot</v>
      </c>
      <c r="L167">
        <v>310</v>
      </c>
      <c r="M167" s="2">
        <v>621.45000000000005</v>
      </c>
    </row>
    <row r="168" spans="2:13" x14ac:dyDescent="0.2">
      <c r="B168" s="5">
        <v>38410.433606750827</v>
      </c>
      <c r="C168" s="5" t="str">
        <f t="shared" si="2"/>
        <v>Sunday</v>
      </c>
      <c r="D168" s="5" t="str">
        <f>TEXT(B168,"MMMM")</f>
        <v>February</v>
      </c>
      <c r="E168" s="5" t="str">
        <f>IFERROR(VLOOKUP(D168,monthseason,2,FALSE),"unknown")</f>
        <v>Winter</v>
      </c>
      <c r="F168" t="s">
        <v>37</v>
      </c>
      <c r="G168" t="str">
        <f>IFERROR(VLOOKUP(F168,citycountry,2,FALSE),"unknown")</f>
        <v>United Kingdom</v>
      </c>
      <c r="H168" t="s">
        <v>13</v>
      </c>
      <c r="I168" t="s">
        <v>25</v>
      </c>
      <c r="J168" t="s">
        <v>27</v>
      </c>
      <c r="K168" t="str">
        <f>IFERROR(VLOOKUP(J168,producttype,2,FALSE),"unknown")</f>
        <v>Cold</v>
      </c>
      <c r="L168">
        <v>815</v>
      </c>
      <c r="M168" s="2">
        <v>2564</v>
      </c>
    </row>
    <row r="169" spans="2:13" x14ac:dyDescent="0.2">
      <c r="B169" s="5">
        <v>38490.535499195081</v>
      </c>
      <c r="C169" s="5" t="str">
        <f t="shared" si="2"/>
        <v>Wednesday</v>
      </c>
      <c r="D169" s="5" t="str">
        <f>TEXT(B169,"MMMM")</f>
        <v>May</v>
      </c>
      <c r="E169" s="5" t="str">
        <f>IFERROR(VLOOKUP(D169,monthseason,2,FALSE),"unknown")</f>
        <v>Spring</v>
      </c>
      <c r="F169" t="s">
        <v>37</v>
      </c>
      <c r="G169" t="str">
        <f>IFERROR(VLOOKUP(F169,citycountry,2,FALSE),"unknown")</f>
        <v>United Kingdom</v>
      </c>
      <c r="H169" t="s">
        <v>6</v>
      </c>
      <c r="I169" t="s">
        <v>25</v>
      </c>
      <c r="J169" t="s">
        <v>27</v>
      </c>
      <c r="K169" t="str">
        <f>IFERROR(VLOOKUP(J169,producttype,2,FALSE),"unknown")</f>
        <v>Cold</v>
      </c>
      <c r="L169">
        <v>185</v>
      </c>
      <c r="M169" s="2">
        <v>379.72</v>
      </c>
    </row>
    <row r="170" spans="2:13" x14ac:dyDescent="0.2">
      <c r="B170" s="5">
        <v>38490.760700159321</v>
      </c>
      <c r="C170" s="5" t="str">
        <f t="shared" si="2"/>
        <v>Wednesday</v>
      </c>
      <c r="D170" s="5" t="str">
        <f>TEXT(B170,"MMMM")</f>
        <v>May</v>
      </c>
      <c r="E170" s="5" t="str">
        <f>IFERROR(VLOOKUP(D170,monthseason,2,FALSE),"unknown")</f>
        <v>Spring</v>
      </c>
      <c r="F170" t="s">
        <v>37</v>
      </c>
      <c r="G170" t="str">
        <f>IFERROR(VLOOKUP(F170,citycountry,2,FALSE),"unknown")</f>
        <v>United Kingdom</v>
      </c>
      <c r="H170" t="s">
        <v>20</v>
      </c>
      <c r="I170" t="s">
        <v>25</v>
      </c>
      <c r="J170" t="s">
        <v>27</v>
      </c>
      <c r="K170" t="str">
        <f>IFERROR(VLOOKUP(J170,producttype,2,FALSE),"unknown")</f>
        <v>Cold</v>
      </c>
      <c r="L170">
        <v>360</v>
      </c>
      <c r="M170" s="2">
        <v>696.22</v>
      </c>
    </row>
    <row r="171" spans="2:13" x14ac:dyDescent="0.2">
      <c r="B171" s="5">
        <v>38515.674679576776</v>
      </c>
      <c r="C171" s="5" t="str">
        <f t="shared" si="2"/>
        <v>Sunday</v>
      </c>
      <c r="D171" s="5" t="str">
        <f>TEXT(B171,"MMMM")</f>
        <v>June</v>
      </c>
      <c r="E171" s="5" t="str">
        <f>IFERROR(VLOOKUP(D171,monthseason,2,FALSE),"unknown")</f>
        <v>Summer</v>
      </c>
      <c r="F171" t="s">
        <v>37</v>
      </c>
      <c r="G171" t="str">
        <f>IFERROR(VLOOKUP(F171,citycountry,2,FALSE),"unknown")</f>
        <v>United Kingdom</v>
      </c>
      <c r="H171" t="s">
        <v>8</v>
      </c>
      <c r="I171" t="s">
        <v>25</v>
      </c>
      <c r="J171" t="s">
        <v>27</v>
      </c>
      <c r="K171" t="str">
        <f>IFERROR(VLOOKUP(J171,producttype,2,FALSE),"unknown")</f>
        <v>Cold</v>
      </c>
      <c r="L171">
        <v>300</v>
      </c>
      <c r="M171" s="2">
        <v>639.36</v>
      </c>
    </row>
    <row r="172" spans="2:13" x14ac:dyDescent="0.2">
      <c r="B172" s="5">
        <v>38572.218413531737</v>
      </c>
      <c r="C172" s="5" t="str">
        <f t="shared" si="2"/>
        <v>Monday</v>
      </c>
      <c r="D172" s="5" t="str">
        <f>TEXT(B172,"MMMM")</f>
        <v>August</v>
      </c>
      <c r="E172" s="5" t="str">
        <f>IFERROR(VLOOKUP(D172,monthseason,2,FALSE),"unknown")</f>
        <v>Summer</v>
      </c>
      <c r="F172" t="s">
        <v>37</v>
      </c>
      <c r="G172" t="str">
        <f>IFERROR(VLOOKUP(F172,citycountry,2,FALSE),"unknown")</f>
        <v>United Kingdom</v>
      </c>
      <c r="H172" t="s">
        <v>18</v>
      </c>
      <c r="I172" t="s">
        <v>25</v>
      </c>
      <c r="J172" t="s">
        <v>27</v>
      </c>
      <c r="K172" t="str">
        <f>IFERROR(VLOOKUP(J172,producttype,2,FALSE),"unknown")</f>
        <v>Cold</v>
      </c>
      <c r="L172">
        <v>485</v>
      </c>
      <c r="M172" s="2">
        <v>925.56</v>
      </c>
    </row>
    <row r="173" spans="2:13" x14ac:dyDescent="0.2">
      <c r="B173" s="5">
        <v>38480.487740850192</v>
      </c>
      <c r="C173" s="5" t="str">
        <f t="shared" si="2"/>
        <v>Sunday</v>
      </c>
      <c r="D173" s="5" t="str">
        <f>TEXT(B173,"MMMM")</f>
        <v>May</v>
      </c>
      <c r="E173" s="5" t="str">
        <f>IFERROR(VLOOKUP(D173,monthseason,2,FALSE),"unknown")</f>
        <v>Spring</v>
      </c>
      <c r="F173" t="s">
        <v>37</v>
      </c>
      <c r="G173" t="str">
        <f>IFERROR(VLOOKUP(F173,citycountry,2,FALSE),"unknown")</f>
        <v>United Kingdom</v>
      </c>
      <c r="H173" t="s">
        <v>13</v>
      </c>
      <c r="I173" t="s">
        <v>25</v>
      </c>
      <c r="J173" t="s">
        <v>38</v>
      </c>
      <c r="K173" t="str">
        <f>IFERROR(VLOOKUP(J173,producttype,2,FALSE),"unknown")</f>
        <v>Hot</v>
      </c>
      <c r="L173">
        <v>510</v>
      </c>
      <c r="M173" s="2">
        <v>1344.23</v>
      </c>
    </row>
    <row r="174" spans="2:13" x14ac:dyDescent="0.2">
      <c r="B174" s="5">
        <v>38486.483795647706</v>
      </c>
      <c r="C174" s="5" t="str">
        <f t="shared" si="2"/>
        <v>Saturday</v>
      </c>
      <c r="D174" s="5" t="str">
        <f>TEXT(B174,"MMMM")</f>
        <v>May</v>
      </c>
      <c r="E174" s="5" t="str">
        <f>IFERROR(VLOOKUP(D174,monthseason,2,FALSE),"unknown")</f>
        <v>Spring</v>
      </c>
      <c r="F174" t="s">
        <v>37</v>
      </c>
      <c r="G174" t="str">
        <f>IFERROR(VLOOKUP(F174,citycountry,2,FALSE),"unknown")</f>
        <v>United Kingdom</v>
      </c>
      <c r="H174" t="s">
        <v>18</v>
      </c>
      <c r="I174" t="s">
        <v>25</v>
      </c>
      <c r="J174" t="s">
        <v>38</v>
      </c>
      <c r="K174" t="str">
        <f>IFERROR(VLOOKUP(J174,producttype,2,FALSE),"unknown")</f>
        <v>Hot</v>
      </c>
      <c r="L174">
        <v>370</v>
      </c>
      <c r="M174" s="2">
        <v>2651.55</v>
      </c>
    </row>
    <row r="175" spans="2:13" x14ac:dyDescent="0.2">
      <c r="B175" s="5">
        <v>38525.584265422825</v>
      </c>
      <c r="C175" s="5" t="str">
        <f t="shared" si="2"/>
        <v>Wednesday</v>
      </c>
      <c r="D175" s="5" t="str">
        <f>TEXT(B175,"MMMM")</f>
        <v>June</v>
      </c>
      <c r="E175" s="5" t="str">
        <f>IFERROR(VLOOKUP(D175,monthseason,2,FALSE),"unknown")</f>
        <v>Summer</v>
      </c>
      <c r="F175" t="s">
        <v>37</v>
      </c>
      <c r="G175" t="str">
        <f>IFERROR(VLOOKUP(F175,citycountry,2,FALSE),"unknown")</f>
        <v>United Kingdom</v>
      </c>
      <c r="H175" t="s">
        <v>8</v>
      </c>
      <c r="I175" t="s">
        <v>29</v>
      </c>
      <c r="J175" t="s">
        <v>39</v>
      </c>
      <c r="K175" t="str">
        <f>IFERROR(VLOOKUP(J175,producttype,2,FALSE),"unknown")</f>
        <v>Cold</v>
      </c>
      <c r="L175">
        <v>725</v>
      </c>
      <c r="M175" s="2">
        <v>2986.38</v>
      </c>
    </row>
    <row r="176" spans="2:13" x14ac:dyDescent="0.2">
      <c r="B176" s="5">
        <v>38495.391818097865</v>
      </c>
      <c r="C176" s="5" t="str">
        <f t="shared" si="2"/>
        <v>Monday</v>
      </c>
      <c r="D176" s="5" t="str">
        <f>TEXT(B176,"MMMM")</f>
        <v>May</v>
      </c>
      <c r="E176" s="5" t="str">
        <f>IFERROR(VLOOKUP(D176,monthseason,2,FALSE),"unknown")</f>
        <v>Spring</v>
      </c>
      <c r="F176" t="s">
        <v>37</v>
      </c>
      <c r="G176" t="str">
        <f>IFERROR(VLOOKUP(F176,citycountry,2,FALSE),"unknown")</f>
        <v>United Kingdom</v>
      </c>
      <c r="H176" t="s">
        <v>7</v>
      </c>
      <c r="I176" t="s">
        <v>29</v>
      </c>
      <c r="J176" t="s">
        <v>43</v>
      </c>
      <c r="K176" t="str">
        <f>IFERROR(VLOOKUP(J176,producttype,2,FALSE),"unknown")</f>
        <v>Hot</v>
      </c>
      <c r="L176">
        <v>705</v>
      </c>
      <c r="M176" s="2">
        <v>3992.66</v>
      </c>
    </row>
    <row r="177" spans="2:13" x14ac:dyDescent="0.2">
      <c r="B177" s="5">
        <v>38475.329713452709</v>
      </c>
      <c r="C177" s="5" t="str">
        <f t="shared" si="2"/>
        <v>Tuesday</v>
      </c>
      <c r="D177" s="5" t="str">
        <f>TEXT(B177,"MMMM")</f>
        <v>May</v>
      </c>
      <c r="E177" s="5" t="str">
        <f>IFERROR(VLOOKUP(D177,monthseason,2,FALSE),"unknown")</f>
        <v>Spring</v>
      </c>
      <c r="F177" t="s">
        <v>37</v>
      </c>
      <c r="G177" t="str">
        <f>IFERROR(VLOOKUP(F177,citycountry,2,FALSE),"unknown")</f>
        <v>United Kingdom</v>
      </c>
      <c r="H177" t="s">
        <v>6</v>
      </c>
      <c r="I177" t="s">
        <v>29</v>
      </c>
      <c r="J177" t="s">
        <v>40</v>
      </c>
      <c r="K177" t="str">
        <f>IFERROR(VLOOKUP(J177,producttype,2,FALSE),"unknown")</f>
        <v>Hot</v>
      </c>
      <c r="L177">
        <v>410</v>
      </c>
      <c r="M177" s="2">
        <v>836.73</v>
      </c>
    </row>
    <row r="178" spans="2:13" x14ac:dyDescent="0.2">
      <c r="B178" s="5">
        <v>38496.64478718835</v>
      </c>
      <c r="C178" s="5" t="str">
        <f t="shared" si="2"/>
        <v>Tuesday</v>
      </c>
      <c r="D178" s="5" t="str">
        <f>TEXT(B178,"MMMM")</f>
        <v>May</v>
      </c>
      <c r="E178" s="5" t="str">
        <f>IFERROR(VLOOKUP(D178,monthseason,2,FALSE),"unknown")</f>
        <v>Spring</v>
      </c>
      <c r="F178" t="s">
        <v>37</v>
      </c>
      <c r="G178" t="str">
        <f>IFERROR(VLOOKUP(F178,citycountry,2,FALSE),"unknown")</f>
        <v>United Kingdom</v>
      </c>
      <c r="H178" t="s">
        <v>20</v>
      </c>
      <c r="I178" t="s">
        <v>29</v>
      </c>
      <c r="J178" t="s">
        <v>40</v>
      </c>
      <c r="K178" t="str">
        <f>IFERROR(VLOOKUP(J178,producttype,2,FALSE),"unknown")</f>
        <v>Hot</v>
      </c>
      <c r="L178">
        <v>695</v>
      </c>
      <c r="M178" s="2">
        <v>1506.57</v>
      </c>
    </row>
    <row r="179" spans="2:13" x14ac:dyDescent="0.2">
      <c r="B179" s="5">
        <v>38511.605510426241</v>
      </c>
      <c r="C179" s="5" t="str">
        <f t="shared" si="2"/>
        <v>Wednesday</v>
      </c>
      <c r="D179" s="5" t="str">
        <f>TEXT(B179,"MMMM")</f>
        <v>June</v>
      </c>
      <c r="E179" s="5" t="str">
        <f>IFERROR(VLOOKUP(D179,monthseason,2,FALSE),"unknown")</f>
        <v>Summer</v>
      </c>
      <c r="F179" t="s">
        <v>37</v>
      </c>
      <c r="G179" t="str">
        <f>IFERROR(VLOOKUP(F179,citycountry,2,FALSE),"unknown")</f>
        <v>United Kingdom</v>
      </c>
      <c r="H179" t="s">
        <v>15</v>
      </c>
      <c r="I179" t="s">
        <v>29</v>
      </c>
      <c r="J179" t="s">
        <v>40</v>
      </c>
      <c r="K179" t="str">
        <f>IFERROR(VLOOKUP(J179,producttype,2,FALSE),"unknown")</f>
        <v>Hot</v>
      </c>
      <c r="L179">
        <v>995</v>
      </c>
      <c r="M179" s="2">
        <v>2089.6999999999998</v>
      </c>
    </row>
    <row r="180" spans="2:13" x14ac:dyDescent="0.2">
      <c r="B180" s="5">
        <v>38541.565149510527</v>
      </c>
      <c r="C180" s="5" t="str">
        <f t="shared" si="2"/>
        <v>Friday</v>
      </c>
      <c r="D180" s="5" t="str">
        <f>TEXT(B180,"MMMM")</f>
        <v>July</v>
      </c>
      <c r="E180" s="5" t="str">
        <f>IFERROR(VLOOKUP(D180,monthseason,2,FALSE),"unknown")</f>
        <v>Summer</v>
      </c>
      <c r="F180" t="s">
        <v>37</v>
      </c>
      <c r="G180" t="str">
        <f>IFERROR(VLOOKUP(F180,citycountry,2,FALSE),"unknown")</f>
        <v>United Kingdom</v>
      </c>
      <c r="H180" t="s">
        <v>11</v>
      </c>
      <c r="I180" t="s">
        <v>29</v>
      </c>
      <c r="J180" t="s">
        <v>40</v>
      </c>
      <c r="K180" t="str">
        <f>IFERROR(VLOOKUP(J180,producttype,2,FALSE),"unknown")</f>
        <v>Hot</v>
      </c>
      <c r="L180">
        <v>770</v>
      </c>
      <c r="M180" s="2">
        <v>1826.88</v>
      </c>
    </row>
    <row r="181" spans="2:13" x14ac:dyDescent="0.2">
      <c r="B181" s="5">
        <v>38427.558354236819</v>
      </c>
      <c r="C181" s="5" t="str">
        <f t="shared" si="2"/>
        <v>Wednesday</v>
      </c>
      <c r="D181" s="5" t="str">
        <f>TEXT(B181,"MMMM")</f>
        <v>March</v>
      </c>
      <c r="E181" s="5" t="str">
        <f>IFERROR(VLOOKUP(D181,monthseason,2,FALSE),"unknown")</f>
        <v>Spring</v>
      </c>
      <c r="F181" t="s">
        <v>37</v>
      </c>
      <c r="G181" t="str">
        <f>IFERROR(VLOOKUP(F181,citycountry,2,FALSE),"unknown")</f>
        <v>United Kingdom</v>
      </c>
      <c r="H181" t="s">
        <v>19</v>
      </c>
      <c r="I181" t="s">
        <v>29</v>
      </c>
      <c r="J181" t="s">
        <v>28</v>
      </c>
      <c r="K181" t="str">
        <f>IFERROR(VLOOKUP(J181,producttype,2,FALSE),"unknown")</f>
        <v>Hot</v>
      </c>
      <c r="L181">
        <v>985</v>
      </c>
      <c r="M181" s="2">
        <v>1519.36</v>
      </c>
    </row>
    <row r="182" spans="2:13" x14ac:dyDescent="0.2">
      <c r="B182" s="5">
        <v>38463.835817390674</v>
      </c>
      <c r="C182" s="5" t="str">
        <f t="shared" si="2"/>
        <v>Thursday</v>
      </c>
      <c r="D182" s="5" t="str">
        <f>TEXT(B182,"MMMM")</f>
        <v>April</v>
      </c>
      <c r="E182" s="5" t="str">
        <f>IFERROR(VLOOKUP(D182,monthseason,2,FALSE),"unknown")</f>
        <v>Spring</v>
      </c>
      <c r="F182" t="s">
        <v>37</v>
      </c>
      <c r="G182" t="str">
        <f>IFERROR(VLOOKUP(F182,citycountry,2,FALSE),"unknown")</f>
        <v>United Kingdom</v>
      </c>
      <c r="H182" t="s">
        <v>7</v>
      </c>
      <c r="I182" t="s">
        <v>29</v>
      </c>
      <c r="J182" t="s">
        <v>28</v>
      </c>
      <c r="K182" t="str">
        <f>IFERROR(VLOOKUP(J182,producttype,2,FALSE),"unknown")</f>
        <v>Hot</v>
      </c>
      <c r="L182">
        <v>155</v>
      </c>
      <c r="M182" s="2">
        <v>738.05</v>
      </c>
    </row>
    <row r="183" spans="2:13" x14ac:dyDescent="0.2">
      <c r="B183" s="5">
        <v>38474.489130800088</v>
      </c>
      <c r="C183" s="5" t="str">
        <f t="shared" si="2"/>
        <v>Monday</v>
      </c>
      <c r="D183" s="5" t="str">
        <f>TEXT(B183,"MMMM")</f>
        <v>May</v>
      </c>
      <c r="E183" s="5" t="str">
        <f>IFERROR(VLOOKUP(D183,monthseason,2,FALSE),"unknown")</f>
        <v>Spring</v>
      </c>
      <c r="F183" t="s">
        <v>37</v>
      </c>
      <c r="G183" t="str">
        <f>IFERROR(VLOOKUP(F183,citycountry,2,FALSE),"unknown")</f>
        <v>United Kingdom</v>
      </c>
      <c r="H183" t="s">
        <v>24</v>
      </c>
      <c r="I183" t="s">
        <v>29</v>
      </c>
      <c r="J183" t="s">
        <v>28</v>
      </c>
      <c r="K183" t="str">
        <f>IFERROR(VLOOKUP(J183,producttype,2,FALSE),"unknown")</f>
        <v>Hot</v>
      </c>
      <c r="L183">
        <v>460</v>
      </c>
      <c r="M183" s="2">
        <v>2121.15</v>
      </c>
    </row>
    <row r="184" spans="2:13" x14ac:dyDescent="0.2">
      <c r="B184" s="5">
        <v>38476.262434812968</v>
      </c>
      <c r="C184" s="5" t="str">
        <f t="shared" si="2"/>
        <v>Wednesday</v>
      </c>
      <c r="D184" s="5" t="str">
        <f>TEXT(B184,"MMMM")</f>
        <v>May</v>
      </c>
      <c r="E184" s="5" t="str">
        <f>IFERROR(VLOOKUP(D184,monthseason,2,FALSE),"unknown")</f>
        <v>Spring</v>
      </c>
      <c r="F184" t="s">
        <v>37</v>
      </c>
      <c r="G184" t="str">
        <f>IFERROR(VLOOKUP(F184,citycountry,2,FALSE),"unknown")</f>
        <v>United Kingdom</v>
      </c>
      <c r="H184" t="s">
        <v>8</v>
      </c>
      <c r="I184" t="s">
        <v>29</v>
      </c>
      <c r="J184" t="s">
        <v>28</v>
      </c>
      <c r="K184" t="str">
        <f>IFERROR(VLOOKUP(J184,producttype,2,FALSE),"unknown")</f>
        <v>Hot</v>
      </c>
      <c r="L184">
        <v>895</v>
      </c>
      <c r="M184" s="2">
        <v>4022.8</v>
      </c>
    </row>
    <row r="185" spans="2:13" x14ac:dyDescent="0.2">
      <c r="B185" s="5">
        <v>38491.028407450249</v>
      </c>
      <c r="C185" s="5" t="str">
        <f t="shared" si="2"/>
        <v>Thursday</v>
      </c>
      <c r="D185" s="5" t="str">
        <f>TEXT(B185,"MMMM")</f>
        <v>May</v>
      </c>
      <c r="E185" s="5" t="str">
        <f>IFERROR(VLOOKUP(D185,monthseason,2,FALSE),"unknown")</f>
        <v>Spring</v>
      </c>
      <c r="F185" t="s">
        <v>37</v>
      </c>
      <c r="G185" t="str">
        <f>IFERROR(VLOOKUP(F185,citycountry,2,FALSE),"unknown")</f>
        <v>United Kingdom</v>
      </c>
      <c r="H185" t="s">
        <v>19</v>
      </c>
      <c r="I185" t="s">
        <v>29</v>
      </c>
      <c r="J185" t="s">
        <v>28</v>
      </c>
      <c r="K185" t="str">
        <f>IFERROR(VLOOKUP(J185,producttype,2,FALSE),"unknown")</f>
        <v>Hot</v>
      </c>
      <c r="L185">
        <v>285</v>
      </c>
      <c r="M185" s="2">
        <v>1141.47</v>
      </c>
    </row>
    <row r="186" spans="2:13" x14ac:dyDescent="0.2">
      <c r="B186" s="5">
        <v>38447.342853423346</v>
      </c>
      <c r="C186" s="5" t="str">
        <f t="shared" si="2"/>
        <v>Tuesday</v>
      </c>
      <c r="D186" s="5" t="str">
        <f>TEXT(B186,"MMMM")</f>
        <v>April</v>
      </c>
      <c r="E186" s="5" t="str">
        <f>IFERROR(VLOOKUP(D186,monthseason,2,FALSE),"unknown")</f>
        <v>Spring</v>
      </c>
      <c r="F186" t="s">
        <v>37</v>
      </c>
      <c r="G186" t="str">
        <f>IFERROR(VLOOKUP(F186,citycountry,2,FALSE),"unknown")</f>
        <v>United Kingdom</v>
      </c>
      <c r="H186" t="s">
        <v>13</v>
      </c>
      <c r="I186" t="s">
        <v>29</v>
      </c>
      <c r="J186" t="s">
        <v>41</v>
      </c>
      <c r="K186" t="str">
        <f>IFERROR(VLOOKUP(J186,producttype,2,FALSE),"unknown")</f>
        <v>Hot</v>
      </c>
      <c r="L186">
        <v>465</v>
      </c>
      <c r="M186" s="2">
        <v>1561.96</v>
      </c>
    </row>
    <row r="187" spans="2:13" x14ac:dyDescent="0.2">
      <c r="B187" s="5">
        <v>38452.404601454102</v>
      </c>
      <c r="C187" s="5" t="str">
        <f t="shared" si="2"/>
        <v>Sunday</v>
      </c>
      <c r="D187" s="5" t="str">
        <f>TEXT(B187,"MMMM")</f>
        <v>April</v>
      </c>
      <c r="E187" s="5" t="str">
        <f>IFERROR(VLOOKUP(D187,monthseason,2,FALSE),"unknown")</f>
        <v>Spring</v>
      </c>
      <c r="F187" t="s">
        <v>37</v>
      </c>
      <c r="G187" t="str">
        <f>IFERROR(VLOOKUP(F187,citycountry,2,FALSE),"unknown")</f>
        <v>United Kingdom</v>
      </c>
      <c r="H187" t="s">
        <v>8</v>
      </c>
      <c r="I187" t="s">
        <v>29</v>
      </c>
      <c r="J187" t="s">
        <v>27</v>
      </c>
      <c r="K187" t="str">
        <f>IFERROR(VLOOKUP(J187,producttype,2,FALSE),"unknown")</f>
        <v>Cold</v>
      </c>
      <c r="L187">
        <v>850</v>
      </c>
      <c r="M187" s="2">
        <v>2893.98</v>
      </c>
    </row>
    <row r="188" spans="2:13" x14ac:dyDescent="0.2">
      <c r="B188" s="5">
        <v>38499.125785491044</v>
      </c>
      <c r="C188" s="5" t="str">
        <f t="shared" si="2"/>
        <v>Friday</v>
      </c>
      <c r="D188" s="5" t="str">
        <f>TEXT(B188,"MMMM")</f>
        <v>May</v>
      </c>
      <c r="E188" s="5" t="str">
        <f>IFERROR(VLOOKUP(D188,monthseason,2,FALSE),"unknown")</f>
        <v>Spring</v>
      </c>
      <c r="F188" t="s">
        <v>37</v>
      </c>
      <c r="G188" t="str">
        <f>IFERROR(VLOOKUP(F188,citycountry,2,FALSE),"unknown")</f>
        <v>United Kingdom</v>
      </c>
      <c r="H188" t="s">
        <v>10</v>
      </c>
      <c r="I188" t="s">
        <v>29</v>
      </c>
      <c r="J188" t="s">
        <v>27</v>
      </c>
      <c r="K188" t="str">
        <f>IFERROR(VLOOKUP(J188,producttype,2,FALSE),"unknown")</f>
        <v>Cold</v>
      </c>
      <c r="L188">
        <v>30</v>
      </c>
      <c r="M188" s="2">
        <v>101.61</v>
      </c>
    </row>
    <row r="189" spans="2:13" x14ac:dyDescent="0.2">
      <c r="B189" s="5">
        <v>38440.836786310239</v>
      </c>
      <c r="C189" s="5" t="str">
        <f t="shared" si="2"/>
        <v>Tuesday</v>
      </c>
      <c r="D189" s="5" t="str">
        <f>TEXT(B189,"MMMM")</f>
        <v>March</v>
      </c>
      <c r="E189" s="5" t="str">
        <f>IFERROR(VLOOKUP(D189,monthseason,2,FALSE),"unknown")</f>
        <v>Spring</v>
      </c>
      <c r="F189" t="s">
        <v>37</v>
      </c>
      <c r="G189" t="str">
        <f>IFERROR(VLOOKUP(F189,citycountry,2,FALSE),"unknown")</f>
        <v>United Kingdom</v>
      </c>
      <c r="H189" t="s">
        <v>8</v>
      </c>
      <c r="I189" t="s">
        <v>29</v>
      </c>
      <c r="J189" t="s">
        <v>38</v>
      </c>
      <c r="K189" t="str">
        <f>IFERROR(VLOOKUP(J189,producttype,2,FALSE),"unknown")</f>
        <v>Hot</v>
      </c>
      <c r="L189">
        <v>990</v>
      </c>
      <c r="M189" s="2">
        <v>7031.77</v>
      </c>
    </row>
    <row r="190" spans="2:13" x14ac:dyDescent="0.2">
      <c r="B190" s="5">
        <v>38497.358318025108</v>
      </c>
      <c r="C190" s="5" t="str">
        <f t="shared" si="2"/>
        <v>Wednesday</v>
      </c>
      <c r="D190" s="5" t="str">
        <f>TEXT(B190,"MMMM")</f>
        <v>May</v>
      </c>
      <c r="E190" s="5" t="str">
        <f>IFERROR(VLOOKUP(D190,monthseason,2,FALSE),"unknown")</f>
        <v>Spring</v>
      </c>
      <c r="F190" t="s">
        <v>37</v>
      </c>
      <c r="G190" t="str">
        <f>IFERROR(VLOOKUP(F190,citycountry,2,FALSE),"unknown")</f>
        <v>United Kingdom</v>
      </c>
      <c r="H190" t="s">
        <v>7</v>
      </c>
      <c r="I190" t="s">
        <v>29</v>
      </c>
      <c r="J190" t="s">
        <v>38</v>
      </c>
      <c r="K190" t="str">
        <f>IFERROR(VLOOKUP(J190,producttype,2,FALSE),"unknown")</f>
        <v>Hot</v>
      </c>
      <c r="L190">
        <v>25</v>
      </c>
      <c r="M190" s="2">
        <v>201.22</v>
      </c>
    </row>
    <row r="191" spans="2:13" x14ac:dyDescent="0.2">
      <c r="B191" s="5">
        <v>38449.930039168656</v>
      </c>
      <c r="C191" s="5" t="str">
        <f t="shared" si="2"/>
        <v>Thursday</v>
      </c>
      <c r="D191" s="5" t="str">
        <f>TEXT(B191,"MMMM")</f>
        <v>April</v>
      </c>
      <c r="E191" s="5" t="str">
        <f>IFERROR(VLOOKUP(D191,monthseason,2,FALSE),"unknown")</f>
        <v>Spring</v>
      </c>
      <c r="F191" t="s">
        <v>2</v>
      </c>
      <c r="G191" t="str">
        <f>IFERROR(VLOOKUP(F191,citycountry,2,FALSE),"unknown")</f>
        <v>Spain</v>
      </c>
      <c r="H191" t="s">
        <v>14</v>
      </c>
      <c r="I191" t="s">
        <v>35</v>
      </c>
      <c r="J191" t="s">
        <v>39</v>
      </c>
      <c r="K191" t="str">
        <f>IFERROR(VLOOKUP(J191,producttype,2,FALSE),"unknown")</f>
        <v>Cold</v>
      </c>
      <c r="L191">
        <v>260</v>
      </c>
      <c r="M191" s="2">
        <v>168.83</v>
      </c>
    </row>
    <row r="192" spans="2:13" x14ac:dyDescent="0.2">
      <c r="B192" s="5">
        <v>38476.722621370413</v>
      </c>
      <c r="C192" s="5" t="str">
        <f t="shared" si="2"/>
        <v>Wednesday</v>
      </c>
      <c r="D192" s="5" t="str">
        <f>TEXT(B192,"MMMM")</f>
        <v>May</v>
      </c>
      <c r="E192" s="5" t="str">
        <f>IFERROR(VLOOKUP(D192,monthseason,2,FALSE),"unknown")</f>
        <v>Spring</v>
      </c>
      <c r="F192" t="s">
        <v>2</v>
      </c>
      <c r="G192" t="str">
        <f>IFERROR(VLOOKUP(F192,citycountry,2,FALSE),"unknown")</f>
        <v>Spain</v>
      </c>
      <c r="H192" t="s">
        <v>11</v>
      </c>
      <c r="I192" t="s">
        <v>35</v>
      </c>
      <c r="J192" t="s">
        <v>39</v>
      </c>
      <c r="K192" t="str">
        <f>IFERROR(VLOOKUP(J192,producttype,2,FALSE),"unknown")</f>
        <v>Cold</v>
      </c>
      <c r="L192">
        <v>60</v>
      </c>
      <c r="M192" s="2">
        <v>59.69</v>
      </c>
    </row>
    <row r="193" spans="2:13" x14ac:dyDescent="0.2">
      <c r="B193" s="5">
        <v>38512.338617434427</v>
      </c>
      <c r="C193" s="5" t="str">
        <f t="shared" si="2"/>
        <v>Thursday</v>
      </c>
      <c r="D193" s="5" t="str">
        <f>TEXT(B193,"MMMM")</f>
        <v>June</v>
      </c>
      <c r="E193" s="5" t="str">
        <f>IFERROR(VLOOKUP(D193,monthseason,2,FALSE),"unknown")</f>
        <v>Summer</v>
      </c>
      <c r="F193" t="s">
        <v>2</v>
      </c>
      <c r="G193" t="str">
        <f>IFERROR(VLOOKUP(F193,citycountry,2,FALSE),"unknown")</f>
        <v>Spain</v>
      </c>
      <c r="H193" t="s">
        <v>10</v>
      </c>
      <c r="I193" t="s">
        <v>35</v>
      </c>
      <c r="J193" t="s">
        <v>39</v>
      </c>
      <c r="K193" t="str">
        <f>IFERROR(VLOOKUP(J193,producttype,2,FALSE),"unknown")</f>
        <v>Cold</v>
      </c>
      <c r="L193">
        <v>205</v>
      </c>
      <c r="M193" s="2">
        <v>1274.07</v>
      </c>
    </row>
    <row r="194" spans="2:13" x14ac:dyDescent="0.2">
      <c r="B194" s="5">
        <v>38548.521971182097</v>
      </c>
      <c r="C194" s="5" t="str">
        <f t="shared" si="2"/>
        <v>Friday</v>
      </c>
      <c r="D194" s="5" t="str">
        <f>TEXT(B194,"MMMM")</f>
        <v>July</v>
      </c>
      <c r="E194" s="5" t="str">
        <f>IFERROR(VLOOKUP(D194,monthseason,2,FALSE),"unknown")</f>
        <v>Summer</v>
      </c>
      <c r="F194" t="s">
        <v>2</v>
      </c>
      <c r="G194" t="str">
        <f>IFERROR(VLOOKUP(F194,citycountry,2,FALSE),"unknown")</f>
        <v>Spain</v>
      </c>
      <c r="H194" t="s">
        <v>12</v>
      </c>
      <c r="I194" t="s">
        <v>35</v>
      </c>
      <c r="J194" t="s">
        <v>39</v>
      </c>
      <c r="K194" t="str">
        <f>IFERROR(VLOOKUP(J194,producttype,2,FALSE),"unknown")</f>
        <v>Cold</v>
      </c>
      <c r="L194">
        <v>50</v>
      </c>
      <c r="M194" s="2">
        <v>223.62</v>
      </c>
    </row>
    <row r="195" spans="2:13" x14ac:dyDescent="0.2">
      <c r="B195" s="5">
        <v>38443.752990675406</v>
      </c>
      <c r="C195" s="5" t="str">
        <f t="shared" si="2"/>
        <v>Friday</v>
      </c>
      <c r="D195" s="5" t="str">
        <f>TEXT(B195,"MMMM")</f>
        <v>April</v>
      </c>
      <c r="E195" s="5" t="str">
        <f>IFERROR(VLOOKUP(D195,monthseason,2,FALSE),"unknown")</f>
        <v>Spring</v>
      </c>
      <c r="F195" t="s">
        <v>2</v>
      </c>
      <c r="G195" t="str">
        <f>IFERROR(VLOOKUP(F195,citycountry,2,FALSE),"unknown")</f>
        <v>Spain</v>
      </c>
      <c r="H195" t="s">
        <v>22</v>
      </c>
      <c r="I195" t="s">
        <v>35</v>
      </c>
      <c r="J195" t="s">
        <v>43</v>
      </c>
      <c r="K195" t="str">
        <f>IFERROR(VLOOKUP(J195,producttype,2,FALSE),"unknown")</f>
        <v>Hot</v>
      </c>
      <c r="L195">
        <v>410</v>
      </c>
      <c r="M195" s="2">
        <v>1848.1</v>
      </c>
    </row>
    <row r="196" spans="2:13" x14ac:dyDescent="0.2">
      <c r="B196" s="5">
        <v>38431.998036309044</v>
      </c>
      <c r="C196" s="5" t="str">
        <f t="shared" ref="C196:C259" si="3">TEXT(B196,"dddd")</f>
        <v>Sunday</v>
      </c>
      <c r="D196" s="5" t="str">
        <f>TEXT(B196,"MMMM")</f>
        <v>March</v>
      </c>
      <c r="E196" s="5" t="str">
        <f>IFERROR(VLOOKUP(D196,monthseason,2,FALSE),"unknown")</f>
        <v>Spring</v>
      </c>
      <c r="F196" t="s">
        <v>2</v>
      </c>
      <c r="G196" t="str">
        <f>IFERROR(VLOOKUP(F196,citycountry,2,FALSE),"unknown")</f>
        <v>Spain</v>
      </c>
      <c r="H196" t="s">
        <v>24</v>
      </c>
      <c r="I196" t="s">
        <v>35</v>
      </c>
      <c r="J196" t="s">
        <v>28</v>
      </c>
      <c r="K196" t="str">
        <f>IFERROR(VLOOKUP(J196,producttype,2,FALSE),"unknown")</f>
        <v>Hot</v>
      </c>
      <c r="L196">
        <v>865</v>
      </c>
      <c r="M196" s="2">
        <v>3410.77</v>
      </c>
    </row>
    <row r="197" spans="2:13" x14ac:dyDescent="0.2">
      <c r="B197" s="5">
        <v>38462.711360584886</v>
      </c>
      <c r="C197" s="5" t="str">
        <f t="shared" si="3"/>
        <v>Wednesday</v>
      </c>
      <c r="D197" s="5" t="str">
        <f>TEXT(B197,"MMMM")</f>
        <v>April</v>
      </c>
      <c r="E197" s="5" t="str">
        <f>IFERROR(VLOOKUP(D197,monthseason,2,FALSE),"unknown")</f>
        <v>Spring</v>
      </c>
      <c r="F197" t="s">
        <v>2</v>
      </c>
      <c r="G197" t="str">
        <f>IFERROR(VLOOKUP(F197,citycountry,2,FALSE),"unknown")</f>
        <v>Spain</v>
      </c>
      <c r="H197" t="s">
        <v>14</v>
      </c>
      <c r="I197" t="s">
        <v>35</v>
      </c>
      <c r="J197" t="s">
        <v>28</v>
      </c>
      <c r="K197" t="str">
        <f>IFERROR(VLOOKUP(J197,producttype,2,FALSE),"unknown")</f>
        <v>Hot</v>
      </c>
      <c r="L197">
        <v>450</v>
      </c>
      <c r="M197" s="2">
        <v>700.48</v>
      </c>
    </row>
    <row r="198" spans="2:13" x14ac:dyDescent="0.2">
      <c r="B198" s="5">
        <v>38477.857156912993</v>
      </c>
      <c r="C198" s="5" t="str">
        <f t="shared" si="3"/>
        <v>Thursday</v>
      </c>
      <c r="D198" s="5" t="str">
        <f>TEXT(B198,"MMMM")</f>
        <v>May</v>
      </c>
      <c r="E198" s="5" t="str">
        <f>IFERROR(VLOOKUP(D198,monthseason,2,FALSE),"unknown")</f>
        <v>Spring</v>
      </c>
      <c r="F198" t="s">
        <v>2</v>
      </c>
      <c r="G198" t="str">
        <f>IFERROR(VLOOKUP(F198,citycountry,2,FALSE),"unknown")</f>
        <v>Spain</v>
      </c>
      <c r="H198" t="s">
        <v>24</v>
      </c>
      <c r="I198" t="s">
        <v>35</v>
      </c>
      <c r="J198" t="s">
        <v>28</v>
      </c>
      <c r="K198" t="str">
        <f>IFERROR(VLOOKUP(J198,producttype,2,FALSE),"unknown")</f>
        <v>Hot</v>
      </c>
      <c r="L198">
        <v>275</v>
      </c>
      <c r="M198" s="2">
        <v>992.68</v>
      </c>
    </row>
    <row r="199" spans="2:13" x14ac:dyDescent="0.2">
      <c r="B199" s="5">
        <v>38428.399614839051</v>
      </c>
      <c r="C199" s="5" t="str">
        <f t="shared" si="3"/>
        <v>Thursday</v>
      </c>
      <c r="D199" s="5" t="str">
        <f>TEXT(B199,"MMMM")</f>
        <v>March</v>
      </c>
      <c r="E199" s="5" t="str">
        <f>IFERROR(VLOOKUP(D199,monthseason,2,FALSE),"unknown")</f>
        <v>Spring</v>
      </c>
      <c r="F199" t="s">
        <v>2</v>
      </c>
      <c r="G199" t="str">
        <f>IFERROR(VLOOKUP(F199,citycountry,2,FALSE),"unknown")</f>
        <v>Spain</v>
      </c>
      <c r="H199" t="s">
        <v>14</v>
      </c>
      <c r="I199" t="s">
        <v>35</v>
      </c>
      <c r="J199" t="s">
        <v>27</v>
      </c>
      <c r="K199" t="str">
        <f>IFERROR(VLOOKUP(J199,producttype,2,FALSE),"unknown")</f>
        <v>Cold</v>
      </c>
      <c r="L199">
        <v>205</v>
      </c>
      <c r="M199" s="2">
        <v>607.35</v>
      </c>
    </row>
    <row r="200" spans="2:13" x14ac:dyDescent="0.2">
      <c r="B200" s="5">
        <v>38479.478873188535</v>
      </c>
      <c r="C200" s="5" t="str">
        <f t="shared" si="3"/>
        <v>Saturday</v>
      </c>
      <c r="D200" s="5" t="str">
        <f>TEXT(B200,"MMMM")</f>
        <v>May</v>
      </c>
      <c r="E200" s="5" t="str">
        <f>IFERROR(VLOOKUP(D200,monthseason,2,FALSE),"unknown")</f>
        <v>Spring</v>
      </c>
      <c r="F200" t="s">
        <v>2</v>
      </c>
      <c r="G200" t="str">
        <f>IFERROR(VLOOKUP(F200,citycountry,2,FALSE),"unknown")</f>
        <v>Spain</v>
      </c>
      <c r="H200" t="s">
        <v>22</v>
      </c>
      <c r="I200" t="s">
        <v>35</v>
      </c>
      <c r="J200" t="s">
        <v>27</v>
      </c>
      <c r="K200" t="str">
        <f>IFERROR(VLOOKUP(J200,producttype,2,FALSE),"unknown")</f>
        <v>Cold</v>
      </c>
      <c r="L200">
        <v>90</v>
      </c>
      <c r="M200" s="2">
        <v>269.55</v>
      </c>
    </row>
    <row r="201" spans="2:13" x14ac:dyDescent="0.2">
      <c r="B201" s="5">
        <v>38512.849285173863</v>
      </c>
      <c r="C201" s="5" t="str">
        <f t="shared" si="3"/>
        <v>Thursday</v>
      </c>
      <c r="D201" s="5" t="str">
        <f>TEXT(B201,"MMMM")</f>
        <v>June</v>
      </c>
      <c r="E201" s="5" t="str">
        <f>IFERROR(VLOOKUP(D201,monthseason,2,FALSE),"unknown")</f>
        <v>Summer</v>
      </c>
      <c r="F201" t="s">
        <v>2</v>
      </c>
      <c r="G201" t="str">
        <f>IFERROR(VLOOKUP(F201,citycountry,2,FALSE),"unknown")</f>
        <v>Spain</v>
      </c>
      <c r="H201" t="s">
        <v>5</v>
      </c>
      <c r="I201" t="s">
        <v>35</v>
      </c>
      <c r="J201" t="s">
        <v>27</v>
      </c>
      <c r="K201" t="str">
        <f>IFERROR(VLOOKUP(J201,producttype,2,FALSE),"unknown")</f>
        <v>Cold</v>
      </c>
      <c r="L201">
        <v>450</v>
      </c>
      <c r="M201" s="2">
        <v>1645.9</v>
      </c>
    </row>
    <row r="202" spans="2:13" x14ac:dyDescent="0.2">
      <c r="B202" s="5">
        <v>38531.601720489569</v>
      </c>
      <c r="C202" s="5" t="str">
        <f t="shared" si="3"/>
        <v>Tuesday</v>
      </c>
      <c r="D202" s="5" t="str">
        <f>TEXT(B202,"MMMM")</f>
        <v>June</v>
      </c>
      <c r="E202" s="5" t="str">
        <f>IFERROR(VLOOKUP(D202,monthseason,2,FALSE),"unknown")</f>
        <v>Summer</v>
      </c>
      <c r="F202" t="s">
        <v>2</v>
      </c>
      <c r="G202" t="str">
        <f>IFERROR(VLOOKUP(F202,citycountry,2,FALSE),"unknown")</f>
        <v>Spain</v>
      </c>
      <c r="H202" t="s">
        <v>14</v>
      </c>
      <c r="I202" t="s">
        <v>35</v>
      </c>
      <c r="J202" t="s">
        <v>27</v>
      </c>
      <c r="K202" t="str">
        <f>IFERROR(VLOOKUP(J202,producttype,2,FALSE),"unknown")</f>
        <v>Cold</v>
      </c>
      <c r="L202">
        <v>465</v>
      </c>
      <c r="M202" s="2">
        <v>1668.93</v>
      </c>
    </row>
    <row r="203" spans="2:13" x14ac:dyDescent="0.2">
      <c r="B203" s="5">
        <v>38464.789142804395</v>
      </c>
      <c r="C203" s="5" t="str">
        <f t="shared" si="3"/>
        <v>Friday</v>
      </c>
      <c r="D203" s="5" t="str">
        <f>TEXT(B203,"MMMM")</f>
        <v>April</v>
      </c>
      <c r="E203" s="5" t="str">
        <f>IFERROR(VLOOKUP(D203,monthseason,2,FALSE),"unknown")</f>
        <v>Spring</v>
      </c>
      <c r="F203" t="s">
        <v>2</v>
      </c>
      <c r="G203" t="str">
        <f>IFERROR(VLOOKUP(F203,citycountry,2,FALSE),"unknown")</f>
        <v>Spain</v>
      </c>
      <c r="H203" t="s">
        <v>19</v>
      </c>
      <c r="I203" t="s">
        <v>35</v>
      </c>
      <c r="J203" t="s">
        <v>38</v>
      </c>
      <c r="K203" t="str">
        <f>IFERROR(VLOOKUP(J203,producttype,2,FALSE),"unknown")</f>
        <v>Hot</v>
      </c>
      <c r="L203">
        <v>895</v>
      </c>
      <c r="M203" s="2">
        <v>6037.4</v>
      </c>
    </row>
    <row r="204" spans="2:13" x14ac:dyDescent="0.2">
      <c r="B204" s="5">
        <v>38469.664696216343</v>
      </c>
      <c r="C204" s="5" t="str">
        <f t="shared" si="3"/>
        <v>Wednesday</v>
      </c>
      <c r="D204" s="5" t="str">
        <f>TEXT(B204,"MMMM")</f>
        <v>April</v>
      </c>
      <c r="E204" s="5" t="str">
        <f>IFERROR(VLOOKUP(D204,monthseason,2,FALSE),"unknown")</f>
        <v>Spring</v>
      </c>
      <c r="F204" t="s">
        <v>2</v>
      </c>
      <c r="G204" t="str">
        <f>IFERROR(VLOOKUP(F204,citycountry,2,FALSE),"unknown")</f>
        <v>Spain</v>
      </c>
      <c r="H204" t="s">
        <v>21</v>
      </c>
      <c r="I204" t="s">
        <v>26</v>
      </c>
      <c r="J204" t="s">
        <v>39</v>
      </c>
      <c r="K204" t="str">
        <f>IFERROR(VLOOKUP(J204,producttype,2,FALSE),"unknown")</f>
        <v>Cold</v>
      </c>
      <c r="L204">
        <v>200</v>
      </c>
      <c r="M204" s="2">
        <v>86.87</v>
      </c>
    </row>
    <row r="205" spans="2:13" x14ac:dyDescent="0.2">
      <c r="B205" s="5">
        <v>38473.458289872578</v>
      </c>
      <c r="C205" s="5" t="str">
        <f t="shared" si="3"/>
        <v>Sunday</v>
      </c>
      <c r="D205" s="5" t="str">
        <f>TEXT(B205,"MMMM")</f>
        <v>May</v>
      </c>
      <c r="E205" s="5" t="str">
        <f>IFERROR(VLOOKUP(D205,monthseason,2,FALSE),"unknown")</f>
        <v>Spring</v>
      </c>
      <c r="F205" t="s">
        <v>2</v>
      </c>
      <c r="G205" t="str">
        <f>IFERROR(VLOOKUP(F205,citycountry,2,FALSE),"unknown")</f>
        <v>Spain</v>
      </c>
      <c r="H205" t="s">
        <v>7</v>
      </c>
      <c r="I205" t="s">
        <v>26</v>
      </c>
      <c r="J205" t="s">
        <v>39</v>
      </c>
      <c r="K205" t="str">
        <f>IFERROR(VLOOKUP(J205,producttype,2,FALSE),"unknown")</f>
        <v>Cold</v>
      </c>
      <c r="L205">
        <v>465</v>
      </c>
      <c r="M205" s="2">
        <v>178.37</v>
      </c>
    </row>
    <row r="206" spans="2:13" x14ac:dyDescent="0.2">
      <c r="B206" s="5">
        <v>38498.584276927933</v>
      </c>
      <c r="C206" s="5" t="str">
        <f t="shared" si="3"/>
        <v>Thursday</v>
      </c>
      <c r="D206" s="5" t="str">
        <f>TEXT(B206,"MMMM")</f>
        <v>May</v>
      </c>
      <c r="E206" s="5" t="str">
        <f>IFERROR(VLOOKUP(D206,monthseason,2,FALSE),"unknown")</f>
        <v>Spring</v>
      </c>
      <c r="F206" t="s">
        <v>2</v>
      </c>
      <c r="G206" t="str">
        <f>IFERROR(VLOOKUP(F206,citycountry,2,FALSE),"unknown")</f>
        <v>Spain</v>
      </c>
      <c r="H206" t="s">
        <v>22</v>
      </c>
      <c r="I206" t="s">
        <v>26</v>
      </c>
      <c r="J206" t="s">
        <v>39</v>
      </c>
      <c r="K206" t="str">
        <f>IFERROR(VLOOKUP(J206,producttype,2,FALSE),"unknown")</f>
        <v>Cold</v>
      </c>
      <c r="L206">
        <v>185</v>
      </c>
      <c r="M206" s="2">
        <v>242.85</v>
      </c>
    </row>
    <row r="207" spans="2:13" x14ac:dyDescent="0.2">
      <c r="B207" s="5">
        <v>38535.186031128367</v>
      </c>
      <c r="C207" s="5" t="str">
        <f t="shared" si="3"/>
        <v>Saturday</v>
      </c>
      <c r="D207" s="5" t="str">
        <f>TEXT(B207,"MMMM")</f>
        <v>July</v>
      </c>
      <c r="E207" s="5" t="str">
        <f>IFERROR(VLOOKUP(D207,monthseason,2,FALSE),"unknown")</f>
        <v>Summer</v>
      </c>
      <c r="F207" t="s">
        <v>2</v>
      </c>
      <c r="G207" t="str">
        <f>IFERROR(VLOOKUP(F207,citycountry,2,FALSE),"unknown")</f>
        <v>Spain</v>
      </c>
      <c r="H207" t="s">
        <v>21</v>
      </c>
      <c r="I207" t="s">
        <v>26</v>
      </c>
      <c r="J207" t="s">
        <v>39</v>
      </c>
      <c r="K207" t="str">
        <f>IFERROR(VLOOKUP(J207,producttype,2,FALSE),"unknown")</f>
        <v>Cold</v>
      </c>
      <c r="L207">
        <v>220</v>
      </c>
      <c r="M207" s="2">
        <v>451.35</v>
      </c>
    </row>
    <row r="208" spans="2:13" x14ac:dyDescent="0.2">
      <c r="B208" s="5">
        <v>38474.462034175325</v>
      </c>
      <c r="C208" s="5" t="str">
        <f t="shared" si="3"/>
        <v>Monday</v>
      </c>
      <c r="D208" s="5" t="str">
        <f>TEXT(B208,"MMMM")</f>
        <v>May</v>
      </c>
      <c r="E208" s="5" t="str">
        <f>IFERROR(VLOOKUP(D208,monthseason,2,FALSE),"unknown")</f>
        <v>Spring</v>
      </c>
      <c r="F208" t="s">
        <v>2</v>
      </c>
      <c r="G208" t="str">
        <f>IFERROR(VLOOKUP(F208,citycountry,2,FALSE),"unknown")</f>
        <v>Spain</v>
      </c>
      <c r="H208" t="s">
        <v>5</v>
      </c>
      <c r="I208" t="s">
        <v>26</v>
      </c>
      <c r="J208" t="s">
        <v>43</v>
      </c>
      <c r="K208" t="str">
        <f>IFERROR(VLOOKUP(J208,producttype,2,FALSE),"unknown")</f>
        <v>Hot</v>
      </c>
      <c r="L208">
        <v>15</v>
      </c>
      <c r="M208" s="2">
        <v>29.37</v>
      </c>
    </row>
    <row r="209" spans="2:13" x14ac:dyDescent="0.2">
      <c r="B209" s="5">
        <v>38495.14821551511</v>
      </c>
      <c r="C209" s="5" t="str">
        <f t="shared" si="3"/>
        <v>Monday</v>
      </c>
      <c r="D209" s="5" t="str">
        <f>TEXT(B209,"MMMM")</f>
        <v>May</v>
      </c>
      <c r="E209" s="5" t="str">
        <f>IFERROR(VLOOKUP(D209,monthseason,2,FALSE),"unknown")</f>
        <v>Spring</v>
      </c>
      <c r="F209" t="s">
        <v>2</v>
      </c>
      <c r="G209" t="str">
        <f>IFERROR(VLOOKUP(F209,citycountry,2,FALSE),"unknown")</f>
        <v>Spain</v>
      </c>
      <c r="H209" t="s">
        <v>19</v>
      </c>
      <c r="I209" t="s">
        <v>26</v>
      </c>
      <c r="J209" t="s">
        <v>41</v>
      </c>
      <c r="K209" t="str">
        <f>IFERROR(VLOOKUP(J209,producttype,2,FALSE),"unknown")</f>
        <v>Hot</v>
      </c>
      <c r="L209">
        <v>830</v>
      </c>
      <c r="M209" s="2">
        <v>1009.2</v>
      </c>
    </row>
    <row r="210" spans="2:13" x14ac:dyDescent="0.2">
      <c r="B210" s="5">
        <v>38485.406927400159</v>
      </c>
      <c r="C210" s="5" t="str">
        <f t="shared" si="3"/>
        <v>Friday</v>
      </c>
      <c r="D210" s="5" t="str">
        <f>TEXT(B210,"MMMM")</f>
        <v>May</v>
      </c>
      <c r="E210" s="5" t="str">
        <f>IFERROR(VLOOKUP(D210,monthseason,2,FALSE),"unknown")</f>
        <v>Spring</v>
      </c>
      <c r="F210" t="s">
        <v>2</v>
      </c>
      <c r="G210" t="str">
        <f>IFERROR(VLOOKUP(F210,citycountry,2,FALSE),"unknown")</f>
        <v>Spain</v>
      </c>
      <c r="H210" t="s">
        <v>8</v>
      </c>
      <c r="I210" t="s">
        <v>26</v>
      </c>
      <c r="J210" t="s">
        <v>27</v>
      </c>
      <c r="K210" t="str">
        <f>IFERROR(VLOOKUP(J210,producttype,2,FALSE),"unknown")</f>
        <v>Cold</v>
      </c>
      <c r="L210">
        <v>5</v>
      </c>
      <c r="M210" s="2">
        <v>5.72</v>
      </c>
    </row>
    <row r="211" spans="2:13" x14ac:dyDescent="0.2">
      <c r="B211" s="5">
        <v>38489.117222457651</v>
      </c>
      <c r="C211" s="5" t="str">
        <f t="shared" si="3"/>
        <v>Tuesday</v>
      </c>
      <c r="D211" s="5" t="str">
        <f>TEXT(B211,"MMMM")</f>
        <v>May</v>
      </c>
      <c r="E211" s="5" t="str">
        <f>IFERROR(VLOOKUP(D211,monthseason,2,FALSE),"unknown")</f>
        <v>Spring</v>
      </c>
      <c r="F211" t="s">
        <v>2</v>
      </c>
      <c r="G211" t="str">
        <f>IFERROR(VLOOKUP(F211,citycountry,2,FALSE),"unknown")</f>
        <v>Spain</v>
      </c>
      <c r="H211" t="s">
        <v>23</v>
      </c>
      <c r="I211" t="s">
        <v>26</v>
      </c>
      <c r="J211" t="s">
        <v>27</v>
      </c>
      <c r="K211" t="str">
        <f>IFERROR(VLOOKUP(J211,producttype,2,FALSE),"unknown")</f>
        <v>Cold</v>
      </c>
      <c r="L211">
        <v>745</v>
      </c>
      <c r="M211" s="2">
        <v>1589.09</v>
      </c>
    </row>
    <row r="212" spans="2:13" x14ac:dyDescent="0.2">
      <c r="B212" s="5">
        <v>38461.680381568105</v>
      </c>
      <c r="C212" s="5" t="str">
        <f t="shared" si="3"/>
        <v>Tuesday</v>
      </c>
      <c r="D212" s="5" t="str">
        <f>TEXT(B212,"MMMM")</f>
        <v>April</v>
      </c>
      <c r="E212" s="5" t="str">
        <f>IFERROR(VLOOKUP(D212,monthseason,2,FALSE),"unknown")</f>
        <v>Spring</v>
      </c>
      <c r="F212" t="s">
        <v>2</v>
      </c>
      <c r="G212" t="str">
        <f>IFERROR(VLOOKUP(F212,citycountry,2,FALSE),"unknown")</f>
        <v>Spain</v>
      </c>
      <c r="H212" t="s">
        <v>23</v>
      </c>
      <c r="I212" t="s">
        <v>26</v>
      </c>
      <c r="J212" t="s">
        <v>38</v>
      </c>
      <c r="K212" t="str">
        <f>IFERROR(VLOOKUP(J212,producttype,2,FALSE),"unknown")</f>
        <v>Hot</v>
      </c>
      <c r="L212">
        <v>910</v>
      </c>
      <c r="M212" s="2">
        <v>2502.77</v>
      </c>
    </row>
    <row r="213" spans="2:13" x14ac:dyDescent="0.2">
      <c r="B213" s="5">
        <v>38472.656696896353</v>
      </c>
      <c r="C213" s="5" t="str">
        <f t="shared" si="3"/>
        <v>Saturday</v>
      </c>
      <c r="D213" s="5" t="str">
        <f>TEXT(B213,"MMMM")</f>
        <v>April</v>
      </c>
      <c r="E213" s="5" t="str">
        <f>IFERROR(VLOOKUP(D213,monthseason,2,FALSE),"unknown")</f>
        <v>Spring</v>
      </c>
      <c r="F213" t="s">
        <v>2</v>
      </c>
      <c r="G213" t="str">
        <f>IFERROR(VLOOKUP(F213,citycountry,2,FALSE),"unknown")</f>
        <v>Spain</v>
      </c>
      <c r="H213" t="s">
        <v>19</v>
      </c>
      <c r="I213" t="s">
        <v>25</v>
      </c>
      <c r="J213" t="s">
        <v>39</v>
      </c>
      <c r="K213" t="str">
        <f>IFERROR(VLOOKUP(J213,producttype,2,FALSE),"unknown")</f>
        <v>Cold</v>
      </c>
      <c r="L213">
        <v>110</v>
      </c>
      <c r="M213" s="2">
        <v>100.71</v>
      </c>
    </row>
    <row r="214" spans="2:13" x14ac:dyDescent="0.2">
      <c r="B214" s="5">
        <v>38502.27775977274</v>
      </c>
      <c r="C214" s="5" t="str">
        <f t="shared" si="3"/>
        <v>Monday</v>
      </c>
      <c r="D214" s="5" t="str">
        <f>TEXT(B214,"MMMM")</f>
        <v>May</v>
      </c>
      <c r="E214" s="5" t="str">
        <f>IFERROR(VLOOKUP(D214,monthseason,2,FALSE),"unknown")</f>
        <v>Spring</v>
      </c>
      <c r="F214" t="s">
        <v>2</v>
      </c>
      <c r="G214" t="str">
        <f>IFERROR(VLOOKUP(F214,citycountry,2,FALSE),"unknown")</f>
        <v>Spain</v>
      </c>
      <c r="H214" t="s">
        <v>9</v>
      </c>
      <c r="I214" t="s">
        <v>25</v>
      </c>
      <c r="J214" t="s">
        <v>39</v>
      </c>
      <c r="K214" t="str">
        <f>IFERROR(VLOOKUP(J214,producttype,2,FALSE),"unknown")</f>
        <v>Cold</v>
      </c>
      <c r="L214">
        <v>140</v>
      </c>
      <c r="M214" s="2">
        <v>57.18</v>
      </c>
    </row>
    <row r="215" spans="2:13" x14ac:dyDescent="0.2">
      <c r="B215" s="5">
        <v>38506.143543018843</v>
      </c>
      <c r="C215" s="5" t="str">
        <f t="shared" si="3"/>
        <v>Friday</v>
      </c>
      <c r="D215" s="5" t="str">
        <f>TEXT(B215,"MMMM")</f>
        <v>June</v>
      </c>
      <c r="E215" s="5" t="str">
        <f>IFERROR(VLOOKUP(D215,monthseason,2,FALSE),"unknown")</f>
        <v>Summer</v>
      </c>
      <c r="F215" t="s">
        <v>2</v>
      </c>
      <c r="G215" t="str">
        <f>IFERROR(VLOOKUP(F215,citycountry,2,FALSE),"unknown")</f>
        <v>Spain</v>
      </c>
      <c r="H215" t="s">
        <v>18</v>
      </c>
      <c r="I215" t="s">
        <v>25</v>
      </c>
      <c r="J215" t="s">
        <v>39</v>
      </c>
      <c r="K215" t="str">
        <f>IFERROR(VLOOKUP(J215,producttype,2,FALSE),"unknown")</f>
        <v>Cold</v>
      </c>
      <c r="L215">
        <v>770</v>
      </c>
      <c r="M215" s="2">
        <v>342.82</v>
      </c>
    </row>
    <row r="216" spans="2:13" x14ac:dyDescent="0.2">
      <c r="B216" s="5">
        <v>38506.446749428695</v>
      </c>
      <c r="C216" s="5" t="str">
        <f t="shared" si="3"/>
        <v>Friday</v>
      </c>
      <c r="D216" s="5" t="str">
        <f>TEXT(B216,"MMMM")</f>
        <v>June</v>
      </c>
      <c r="E216" s="5" t="str">
        <f>IFERROR(VLOOKUP(D216,monthseason,2,FALSE),"unknown")</f>
        <v>Summer</v>
      </c>
      <c r="F216" t="s">
        <v>2</v>
      </c>
      <c r="G216" t="str">
        <f>IFERROR(VLOOKUP(F216,citycountry,2,FALSE),"unknown")</f>
        <v>Spain</v>
      </c>
      <c r="H216" t="s">
        <v>19</v>
      </c>
      <c r="I216" t="s">
        <v>25</v>
      </c>
      <c r="J216" t="s">
        <v>39</v>
      </c>
      <c r="K216" t="str">
        <f>IFERROR(VLOOKUP(J216,producttype,2,FALSE),"unknown")</f>
        <v>Cold</v>
      </c>
      <c r="L216">
        <v>135</v>
      </c>
      <c r="M216" s="2">
        <v>96.93</v>
      </c>
    </row>
    <row r="217" spans="2:13" x14ac:dyDescent="0.2">
      <c r="B217" s="5">
        <v>38511.750132488465</v>
      </c>
      <c r="C217" s="5" t="str">
        <f t="shared" si="3"/>
        <v>Wednesday</v>
      </c>
      <c r="D217" s="5" t="str">
        <f>TEXT(B217,"MMMM")</f>
        <v>June</v>
      </c>
      <c r="E217" s="5" t="str">
        <f>IFERROR(VLOOKUP(D217,monthseason,2,FALSE),"unknown")</f>
        <v>Summer</v>
      </c>
      <c r="F217" t="s">
        <v>2</v>
      </c>
      <c r="G217" t="str">
        <f>IFERROR(VLOOKUP(F217,citycountry,2,FALSE),"unknown")</f>
        <v>Spain</v>
      </c>
      <c r="H217" t="s">
        <v>9</v>
      </c>
      <c r="I217" t="s">
        <v>25</v>
      </c>
      <c r="J217" t="s">
        <v>39</v>
      </c>
      <c r="K217" t="str">
        <f>IFERROR(VLOOKUP(J217,producttype,2,FALSE),"unknown")</f>
        <v>Cold</v>
      </c>
      <c r="L217">
        <v>40</v>
      </c>
      <c r="M217" s="2">
        <v>43.5</v>
      </c>
    </row>
    <row r="218" spans="2:13" x14ac:dyDescent="0.2">
      <c r="B218" s="5">
        <v>38429.738448938107</v>
      </c>
      <c r="C218" s="5" t="str">
        <f t="shared" si="3"/>
        <v>Friday</v>
      </c>
      <c r="D218" s="5" t="str">
        <f>TEXT(B218,"MMMM")</f>
        <v>March</v>
      </c>
      <c r="E218" s="5" t="str">
        <f>IFERROR(VLOOKUP(D218,monthseason,2,FALSE),"unknown")</f>
        <v>Spring</v>
      </c>
      <c r="F218" t="s">
        <v>2</v>
      </c>
      <c r="G218" t="str">
        <f>IFERROR(VLOOKUP(F218,citycountry,2,FALSE),"unknown")</f>
        <v>Spain</v>
      </c>
      <c r="H218" t="s">
        <v>16</v>
      </c>
      <c r="I218" t="s">
        <v>25</v>
      </c>
      <c r="J218" t="s">
        <v>43</v>
      </c>
      <c r="K218" t="str">
        <f>IFERROR(VLOOKUP(J218,producttype,2,FALSE),"unknown")</f>
        <v>Hot</v>
      </c>
      <c r="L218">
        <v>95</v>
      </c>
      <c r="M218" s="2">
        <v>349.24</v>
      </c>
    </row>
    <row r="219" spans="2:13" x14ac:dyDescent="0.2">
      <c r="B219" s="5">
        <v>38458.92498304139</v>
      </c>
      <c r="C219" s="5" t="str">
        <f t="shared" si="3"/>
        <v>Saturday</v>
      </c>
      <c r="D219" s="5" t="str">
        <f>TEXT(B219,"MMMM")</f>
        <v>April</v>
      </c>
      <c r="E219" s="5" t="str">
        <f>IFERROR(VLOOKUP(D219,monthseason,2,FALSE),"unknown")</f>
        <v>Spring</v>
      </c>
      <c r="F219" t="s">
        <v>2</v>
      </c>
      <c r="G219" t="str">
        <f>IFERROR(VLOOKUP(F219,citycountry,2,FALSE),"unknown")</f>
        <v>Spain</v>
      </c>
      <c r="H219" t="s">
        <v>9</v>
      </c>
      <c r="I219" t="s">
        <v>25</v>
      </c>
      <c r="J219" t="s">
        <v>43</v>
      </c>
      <c r="K219" t="str">
        <f>IFERROR(VLOOKUP(J219,producttype,2,FALSE),"unknown")</f>
        <v>Hot</v>
      </c>
      <c r="L219">
        <v>795</v>
      </c>
      <c r="M219" s="2">
        <v>3912.08</v>
      </c>
    </row>
    <row r="220" spans="2:13" x14ac:dyDescent="0.2">
      <c r="B220" s="5">
        <v>38450.367884188629</v>
      </c>
      <c r="C220" s="5" t="str">
        <f t="shared" si="3"/>
        <v>Friday</v>
      </c>
      <c r="D220" s="5" t="str">
        <f>TEXT(B220,"MMMM")</f>
        <v>April</v>
      </c>
      <c r="E220" s="5" t="str">
        <f>IFERROR(VLOOKUP(D220,monthseason,2,FALSE),"unknown")</f>
        <v>Spring</v>
      </c>
      <c r="F220" t="s">
        <v>2</v>
      </c>
      <c r="G220" t="str">
        <f>IFERROR(VLOOKUP(F220,citycountry,2,FALSE),"unknown")</f>
        <v>Spain</v>
      </c>
      <c r="H220" t="s">
        <v>18</v>
      </c>
      <c r="I220" t="s">
        <v>25</v>
      </c>
      <c r="J220" t="s">
        <v>40</v>
      </c>
      <c r="K220" t="str">
        <f>IFERROR(VLOOKUP(J220,producttype,2,FALSE),"unknown")</f>
        <v>Hot</v>
      </c>
      <c r="L220">
        <v>510</v>
      </c>
      <c r="M220" s="2">
        <v>743.06</v>
      </c>
    </row>
    <row r="221" spans="2:13" x14ac:dyDescent="0.2">
      <c r="B221" s="5">
        <v>38468.902975448953</v>
      </c>
      <c r="C221" s="5" t="str">
        <f t="shared" si="3"/>
        <v>Tuesday</v>
      </c>
      <c r="D221" s="5" t="str">
        <f>TEXT(B221,"MMMM")</f>
        <v>April</v>
      </c>
      <c r="E221" s="5" t="str">
        <f>IFERROR(VLOOKUP(D221,monthseason,2,FALSE),"unknown")</f>
        <v>Spring</v>
      </c>
      <c r="F221" t="s">
        <v>2</v>
      </c>
      <c r="G221" t="str">
        <f>IFERROR(VLOOKUP(F221,citycountry,2,FALSE),"unknown")</f>
        <v>Spain</v>
      </c>
      <c r="H221" t="s">
        <v>18</v>
      </c>
      <c r="I221" t="s">
        <v>25</v>
      </c>
      <c r="J221" t="s">
        <v>40</v>
      </c>
      <c r="K221" t="str">
        <f>IFERROR(VLOOKUP(J221,producttype,2,FALSE),"unknown")</f>
        <v>Hot</v>
      </c>
      <c r="L221">
        <v>950</v>
      </c>
      <c r="M221" s="2">
        <v>1970.76</v>
      </c>
    </row>
    <row r="222" spans="2:13" x14ac:dyDescent="0.2">
      <c r="B222" s="5">
        <v>38470.979298391117</v>
      </c>
      <c r="C222" s="5" t="str">
        <f t="shared" si="3"/>
        <v>Thursday</v>
      </c>
      <c r="D222" s="5" t="str">
        <f>TEXT(B222,"MMMM")</f>
        <v>April</v>
      </c>
      <c r="E222" s="5" t="str">
        <f>IFERROR(VLOOKUP(D222,monthseason,2,FALSE),"unknown")</f>
        <v>Spring</v>
      </c>
      <c r="F222" t="s">
        <v>2</v>
      </c>
      <c r="G222" t="str">
        <f>IFERROR(VLOOKUP(F222,citycountry,2,FALSE),"unknown")</f>
        <v>Spain</v>
      </c>
      <c r="H222" t="s">
        <v>22</v>
      </c>
      <c r="I222" t="s">
        <v>25</v>
      </c>
      <c r="J222" t="s">
        <v>40</v>
      </c>
      <c r="K222" t="str">
        <f>IFERROR(VLOOKUP(J222,producttype,2,FALSE),"unknown")</f>
        <v>Hot</v>
      </c>
      <c r="L222">
        <v>950</v>
      </c>
      <c r="M222" s="2">
        <v>1205.7</v>
      </c>
    </row>
    <row r="223" spans="2:13" x14ac:dyDescent="0.2">
      <c r="B223" s="5">
        <v>38483.837588033777</v>
      </c>
      <c r="C223" s="5" t="str">
        <f t="shared" si="3"/>
        <v>Wednesday</v>
      </c>
      <c r="D223" s="5" t="str">
        <f>TEXT(B223,"MMMM")</f>
        <v>May</v>
      </c>
      <c r="E223" s="5" t="str">
        <f>IFERROR(VLOOKUP(D223,monthseason,2,FALSE),"unknown")</f>
        <v>Spring</v>
      </c>
      <c r="F223" t="s">
        <v>2</v>
      </c>
      <c r="G223" t="str">
        <f>IFERROR(VLOOKUP(F223,citycountry,2,FALSE),"unknown")</f>
        <v>Spain</v>
      </c>
      <c r="H223" t="s">
        <v>18</v>
      </c>
      <c r="I223" t="s">
        <v>25</v>
      </c>
      <c r="J223" t="s">
        <v>40</v>
      </c>
      <c r="K223" t="str">
        <f>IFERROR(VLOOKUP(J223,producttype,2,FALSE),"unknown")</f>
        <v>Hot</v>
      </c>
      <c r="L223">
        <v>440</v>
      </c>
      <c r="M223" s="2">
        <v>581.11</v>
      </c>
    </row>
    <row r="224" spans="2:13" x14ac:dyDescent="0.2">
      <c r="B224" s="5">
        <v>38465.224519692187</v>
      </c>
      <c r="C224" s="5" t="str">
        <f t="shared" si="3"/>
        <v>Saturday</v>
      </c>
      <c r="D224" s="5" t="str">
        <f>TEXT(B224,"MMMM")</f>
        <v>April</v>
      </c>
      <c r="E224" s="5" t="str">
        <f>IFERROR(VLOOKUP(D224,monthseason,2,FALSE),"unknown")</f>
        <v>Spring</v>
      </c>
      <c r="F224" t="s">
        <v>2</v>
      </c>
      <c r="G224" t="str">
        <f>IFERROR(VLOOKUP(F224,citycountry,2,FALSE),"unknown")</f>
        <v>Spain</v>
      </c>
      <c r="H224" t="s">
        <v>18</v>
      </c>
      <c r="I224" t="s">
        <v>25</v>
      </c>
      <c r="J224" t="s">
        <v>28</v>
      </c>
      <c r="K224" t="str">
        <f>IFERROR(VLOOKUP(J224,producttype,2,FALSE),"unknown")</f>
        <v>Hot</v>
      </c>
      <c r="L224">
        <v>720</v>
      </c>
      <c r="M224" s="2">
        <v>2014.77</v>
      </c>
    </row>
    <row r="225" spans="2:13" x14ac:dyDescent="0.2">
      <c r="B225" s="5">
        <v>38470.301361717342</v>
      </c>
      <c r="C225" s="5" t="str">
        <f t="shared" si="3"/>
        <v>Thursday</v>
      </c>
      <c r="D225" s="5" t="str">
        <f>TEXT(B225,"MMMM")</f>
        <v>April</v>
      </c>
      <c r="E225" s="5" t="str">
        <f>IFERROR(VLOOKUP(D225,monthseason,2,FALSE),"unknown")</f>
        <v>Spring</v>
      </c>
      <c r="F225" t="s">
        <v>2</v>
      </c>
      <c r="G225" t="str">
        <f>IFERROR(VLOOKUP(F225,citycountry,2,FALSE),"unknown")</f>
        <v>Spain</v>
      </c>
      <c r="H225" t="s">
        <v>14</v>
      </c>
      <c r="I225" t="s">
        <v>25</v>
      </c>
      <c r="J225" t="s">
        <v>41</v>
      </c>
      <c r="K225" t="str">
        <f>IFERROR(VLOOKUP(J225,producttype,2,FALSE),"unknown")</f>
        <v>Hot</v>
      </c>
      <c r="L225">
        <v>130</v>
      </c>
      <c r="M225" s="2">
        <v>275.98</v>
      </c>
    </row>
    <row r="226" spans="2:13" x14ac:dyDescent="0.2">
      <c r="B226" s="5">
        <v>38521.601112933538</v>
      </c>
      <c r="C226" s="5" t="str">
        <f t="shared" si="3"/>
        <v>Saturday</v>
      </c>
      <c r="D226" s="5" t="str">
        <f>TEXT(B226,"MMMM")</f>
        <v>June</v>
      </c>
      <c r="E226" s="5" t="str">
        <f>IFERROR(VLOOKUP(D226,monthseason,2,FALSE),"unknown")</f>
        <v>Summer</v>
      </c>
      <c r="F226" t="s">
        <v>2</v>
      </c>
      <c r="G226" t="str">
        <f>IFERROR(VLOOKUP(F226,citycountry,2,FALSE),"unknown")</f>
        <v>Spain</v>
      </c>
      <c r="H226" t="s">
        <v>22</v>
      </c>
      <c r="I226" t="s">
        <v>25</v>
      </c>
      <c r="J226" t="s">
        <v>27</v>
      </c>
      <c r="K226" t="str">
        <f>IFERROR(VLOOKUP(J226,producttype,2,FALSE),"unknown")</f>
        <v>Cold</v>
      </c>
      <c r="L226">
        <v>360</v>
      </c>
      <c r="M226" s="2">
        <v>705.03</v>
      </c>
    </row>
    <row r="227" spans="2:13" x14ac:dyDescent="0.2">
      <c r="B227" s="5">
        <v>38510.246717088863</v>
      </c>
      <c r="C227" s="5" t="str">
        <f t="shared" si="3"/>
        <v>Tuesday</v>
      </c>
      <c r="D227" s="5" t="str">
        <f>TEXT(B227,"MMMM")</f>
        <v>June</v>
      </c>
      <c r="E227" s="5" t="str">
        <f>IFERROR(VLOOKUP(D227,monthseason,2,FALSE),"unknown")</f>
        <v>Summer</v>
      </c>
      <c r="F227" t="s">
        <v>2</v>
      </c>
      <c r="G227" t="str">
        <f>IFERROR(VLOOKUP(F227,citycountry,2,FALSE),"unknown")</f>
        <v>Spain</v>
      </c>
      <c r="H227" t="s">
        <v>19</v>
      </c>
      <c r="I227" t="s">
        <v>29</v>
      </c>
      <c r="J227" t="s">
        <v>39</v>
      </c>
      <c r="K227" t="str">
        <f>IFERROR(VLOOKUP(J227,producttype,2,FALSE),"unknown")</f>
        <v>Cold</v>
      </c>
      <c r="L227">
        <v>845</v>
      </c>
      <c r="M227" s="2">
        <v>6116.21</v>
      </c>
    </row>
    <row r="228" spans="2:13" x14ac:dyDescent="0.2">
      <c r="B228" s="5">
        <v>38457.642464196288</v>
      </c>
      <c r="C228" s="5" t="str">
        <f t="shared" si="3"/>
        <v>Friday</v>
      </c>
      <c r="D228" s="5" t="str">
        <f>TEXT(B228,"MMMM")</f>
        <v>April</v>
      </c>
      <c r="E228" s="5" t="str">
        <f>IFERROR(VLOOKUP(D228,monthseason,2,FALSE),"unknown")</f>
        <v>Spring</v>
      </c>
      <c r="F228" t="s">
        <v>2</v>
      </c>
      <c r="G228" t="str">
        <f>IFERROR(VLOOKUP(F228,citycountry,2,FALSE),"unknown")</f>
        <v>Spain</v>
      </c>
      <c r="H228" t="s">
        <v>6</v>
      </c>
      <c r="I228" t="s">
        <v>29</v>
      </c>
      <c r="J228" t="s">
        <v>43</v>
      </c>
      <c r="K228" t="str">
        <f>IFERROR(VLOOKUP(J228,producttype,2,FALSE),"unknown")</f>
        <v>Hot</v>
      </c>
      <c r="L228">
        <v>420</v>
      </c>
      <c r="M228" s="2">
        <v>2203.9899999999998</v>
      </c>
    </row>
    <row r="229" spans="2:13" x14ac:dyDescent="0.2">
      <c r="B229" s="5">
        <v>38475.798490449939</v>
      </c>
      <c r="C229" s="5" t="str">
        <f t="shared" si="3"/>
        <v>Tuesday</v>
      </c>
      <c r="D229" s="5" t="str">
        <f>TEXT(B229,"MMMM")</f>
        <v>May</v>
      </c>
      <c r="E229" s="5" t="str">
        <f>IFERROR(VLOOKUP(D229,monthseason,2,FALSE),"unknown")</f>
        <v>Spring</v>
      </c>
      <c r="F229" t="s">
        <v>2</v>
      </c>
      <c r="G229" t="str">
        <f>IFERROR(VLOOKUP(F229,citycountry,2,FALSE),"unknown")</f>
        <v>Spain</v>
      </c>
      <c r="H229" t="s">
        <v>9</v>
      </c>
      <c r="I229" t="s">
        <v>29</v>
      </c>
      <c r="J229" t="s">
        <v>43</v>
      </c>
      <c r="K229" t="str">
        <f>IFERROR(VLOOKUP(J229,producttype,2,FALSE),"unknown")</f>
        <v>Hot</v>
      </c>
      <c r="L229">
        <v>730</v>
      </c>
      <c r="M229" s="2">
        <v>1491.18</v>
      </c>
    </row>
    <row r="230" spans="2:13" x14ac:dyDescent="0.2">
      <c r="B230" s="5">
        <v>38473.174839441039</v>
      </c>
      <c r="C230" s="5" t="str">
        <f t="shared" si="3"/>
        <v>Sunday</v>
      </c>
      <c r="D230" s="5" t="str">
        <f>TEXT(B230,"MMMM")</f>
        <v>May</v>
      </c>
      <c r="E230" s="5" t="str">
        <f>IFERROR(VLOOKUP(D230,monthseason,2,FALSE),"unknown")</f>
        <v>Spring</v>
      </c>
      <c r="F230" t="s">
        <v>2</v>
      </c>
      <c r="G230" t="str">
        <f>IFERROR(VLOOKUP(F230,citycountry,2,FALSE),"unknown")</f>
        <v>Spain</v>
      </c>
      <c r="H230" t="s">
        <v>9</v>
      </c>
      <c r="I230" t="s">
        <v>29</v>
      </c>
      <c r="J230" t="s">
        <v>40</v>
      </c>
      <c r="K230" t="str">
        <f>IFERROR(VLOOKUP(J230,producttype,2,FALSE),"unknown")</f>
        <v>Hot</v>
      </c>
      <c r="L230">
        <v>500</v>
      </c>
      <c r="M230" s="2">
        <v>398.6</v>
      </c>
    </row>
    <row r="231" spans="2:13" x14ac:dyDescent="0.2">
      <c r="B231" s="5">
        <v>38416.753308547428</v>
      </c>
      <c r="C231" s="5" t="str">
        <f t="shared" si="3"/>
        <v>Saturday</v>
      </c>
      <c r="D231" s="5" t="str">
        <f>TEXT(B231,"MMMM")</f>
        <v>March</v>
      </c>
      <c r="E231" s="5" t="str">
        <f>IFERROR(VLOOKUP(D231,monthseason,2,FALSE),"unknown")</f>
        <v>Spring</v>
      </c>
      <c r="F231" t="s">
        <v>2</v>
      </c>
      <c r="G231" t="str">
        <f>IFERROR(VLOOKUP(F231,citycountry,2,FALSE),"unknown")</f>
        <v>Spain</v>
      </c>
      <c r="H231" t="s">
        <v>12</v>
      </c>
      <c r="I231" t="s">
        <v>29</v>
      </c>
      <c r="J231" t="s">
        <v>28</v>
      </c>
      <c r="K231" t="str">
        <f>IFERROR(VLOOKUP(J231,producttype,2,FALSE),"unknown")</f>
        <v>Hot</v>
      </c>
      <c r="L231">
        <v>530</v>
      </c>
      <c r="M231" s="2">
        <v>2410.92</v>
      </c>
    </row>
    <row r="232" spans="2:13" x14ac:dyDescent="0.2">
      <c r="B232" s="5">
        <v>38475.682866602416</v>
      </c>
      <c r="C232" s="5" t="str">
        <f t="shared" si="3"/>
        <v>Tuesday</v>
      </c>
      <c r="D232" s="5" t="str">
        <f>TEXT(B232,"MMMM")</f>
        <v>May</v>
      </c>
      <c r="E232" s="5" t="str">
        <f>IFERROR(VLOOKUP(D232,monthseason,2,FALSE),"unknown")</f>
        <v>Spring</v>
      </c>
      <c r="F232" t="s">
        <v>2</v>
      </c>
      <c r="G232" t="str">
        <f>IFERROR(VLOOKUP(F232,citycountry,2,FALSE),"unknown")</f>
        <v>Spain</v>
      </c>
      <c r="H232" t="s">
        <v>16</v>
      </c>
      <c r="I232" t="s">
        <v>29</v>
      </c>
      <c r="J232" t="s">
        <v>28</v>
      </c>
      <c r="K232" t="str">
        <f>IFERROR(VLOOKUP(J232,producttype,2,FALSE),"unknown")</f>
        <v>Hot</v>
      </c>
      <c r="L232">
        <v>165</v>
      </c>
      <c r="M232" s="2">
        <v>785.1</v>
      </c>
    </row>
    <row r="233" spans="2:13" x14ac:dyDescent="0.2">
      <c r="B233" s="5">
        <v>38444.149464252914</v>
      </c>
      <c r="C233" s="5" t="str">
        <f t="shared" si="3"/>
        <v>Saturday</v>
      </c>
      <c r="D233" s="5" t="str">
        <f>TEXT(B233,"MMMM")</f>
        <v>April</v>
      </c>
      <c r="E233" s="5" t="str">
        <f>IFERROR(VLOOKUP(D233,monthseason,2,FALSE),"unknown")</f>
        <v>Spring</v>
      </c>
      <c r="F233" t="s">
        <v>2</v>
      </c>
      <c r="G233" t="str">
        <f>IFERROR(VLOOKUP(F233,citycountry,2,FALSE),"unknown")</f>
        <v>Spain</v>
      </c>
      <c r="H233" t="s">
        <v>5</v>
      </c>
      <c r="I233" t="s">
        <v>29</v>
      </c>
      <c r="J233" t="s">
        <v>41</v>
      </c>
      <c r="K233" t="str">
        <f>IFERROR(VLOOKUP(J233,producttype,2,FALSE),"unknown")</f>
        <v>Hot</v>
      </c>
      <c r="L233">
        <v>610</v>
      </c>
      <c r="M233" s="2">
        <v>1959.33</v>
      </c>
    </row>
    <row r="234" spans="2:13" x14ac:dyDescent="0.2">
      <c r="B234" s="5">
        <v>38484.512074015365</v>
      </c>
      <c r="C234" s="5" t="str">
        <f t="shared" si="3"/>
        <v>Thursday</v>
      </c>
      <c r="D234" s="5" t="str">
        <f>TEXT(B234,"MMMM")</f>
        <v>May</v>
      </c>
      <c r="E234" s="5" t="str">
        <f>IFERROR(VLOOKUP(D234,monthseason,2,FALSE),"unknown")</f>
        <v>Spring</v>
      </c>
      <c r="F234" t="s">
        <v>2</v>
      </c>
      <c r="G234" t="str">
        <f>IFERROR(VLOOKUP(F234,citycountry,2,FALSE),"unknown")</f>
        <v>Spain</v>
      </c>
      <c r="H234" t="s">
        <v>8</v>
      </c>
      <c r="I234" t="s">
        <v>29</v>
      </c>
      <c r="J234" t="s">
        <v>27</v>
      </c>
      <c r="K234" t="str">
        <f>IFERROR(VLOOKUP(J234,producttype,2,FALSE),"unknown")</f>
        <v>Cold</v>
      </c>
      <c r="L234">
        <v>745</v>
      </c>
      <c r="M234" s="2">
        <v>2650.27</v>
      </c>
    </row>
    <row r="235" spans="2:13" x14ac:dyDescent="0.2">
      <c r="B235" s="5">
        <v>38486.667409734633</v>
      </c>
      <c r="C235" s="5" t="str">
        <f t="shared" si="3"/>
        <v>Saturday</v>
      </c>
      <c r="D235" s="5" t="str">
        <f>TEXT(B235,"MMMM")</f>
        <v>May</v>
      </c>
      <c r="E235" s="5" t="str">
        <f>IFERROR(VLOOKUP(D235,monthseason,2,FALSE),"unknown")</f>
        <v>Spring</v>
      </c>
      <c r="F235" t="s">
        <v>2</v>
      </c>
      <c r="G235" t="str">
        <f>IFERROR(VLOOKUP(F235,citycountry,2,FALSE),"unknown")</f>
        <v>Spain</v>
      </c>
      <c r="H235" t="s">
        <v>17</v>
      </c>
      <c r="I235" t="s">
        <v>29</v>
      </c>
      <c r="J235" t="s">
        <v>27</v>
      </c>
      <c r="K235" t="str">
        <f>IFERROR(VLOOKUP(J235,producttype,2,FALSE),"unknown")</f>
        <v>Cold</v>
      </c>
      <c r="L235">
        <v>895</v>
      </c>
      <c r="M235" s="2">
        <v>3156.34</v>
      </c>
    </row>
    <row r="236" spans="2:13" x14ac:dyDescent="0.2">
      <c r="B236" s="5">
        <v>38429.149979887741</v>
      </c>
      <c r="C236" s="5" t="str">
        <f t="shared" si="3"/>
        <v>Friday</v>
      </c>
      <c r="D236" s="5" t="str">
        <f>TEXT(B236,"MMMM")</f>
        <v>March</v>
      </c>
      <c r="E236" s="5" t="str">
        <f>IFERROR(VLOOKUP(D236,monthseason,2,FALSE),"unknown")</f>
        <v>Spring</v>
      </c>
      <c r="F236" t="s">
        <v>1</v>
      </c>
      <c r="G236" t="str">
        <f>IFERROR(VLOOKUP(F236,citycountry,2,FALSE),"unknown")</f>
        <v>France</v>
      </c>
      <c r="H236" t="s">
        <v>14</v>
      </c>
      <c r="I236" t="s">
        <v>35</v>
      </c>
      <c r="J236" t="s">
        <v>39</v>
      </c>
      <c r="K236" t="str">
        <f>IFERROR(VLOOKUP(J236,producttype,2,FALSE),"unknown")</f>
        <v>Cold</v>
      </c>
      <c r="L236">
        <v>410</v>
      </c>
      <c r="M236" s="2">
        <v>365.11</v>
      </c>
    </row>
    <row r="237" spans="2:13" x14ac:dyDescent="0.2">
      <c r="B237" s="5">
        <v>38496.888849075796</v>
      </c>
      <c r="C237" s="5" t="str">
        <f t="shared" si="3"/>
        <v>Tuesday</v>
      </c>
      <c r="D237" s="5" t="str">
        <f>TEXT(B237,"MMMM")</f>
        <v>May</v>
      </c>
      <c r="E237" s="5" t="str">
        <f>IFERROR(VLOOKUP(D237,monthseason,2,FALSE),"unknown")</f>
        <v>Spring</v>
      </c>
      <c r="F237" t="s">
        <v>1</v>
      </c>
      <c r="G237" t="str">
        <f>IFERROR(VLOOKUP(F237,citycountry,2,FALSE),"unknown")</f>
        <v>France</v>
      </c>
      <c r="H237" t="s">
        <v>24</v>
      </c>
      <c r="I237" t="s">
        <v>35</v>
      </c>
      <c r="J237" t="s">
        <v>39</v>
      </c>
      <c r="K237" t="str">
        <f>IFERROR(VLOOKUP(J237,producttype,2,FALSE),"unknown")</f>
        <v>Cold</v>
      </c>
      <c r="L237">
        <v>115</v>
      </c>
      <c r="M237" s="2">
        <v>114.09</v>
      </c>
    </row>
    <row r="238" spans="2:13" x14ac:dyDescent="0.2">
      <c r="B238" s="5">
        <v>38497.326676142555</v>
      </c>
      <c r="C238" s="5" t="str">
        <f t="shared" si="3"/>
        <v>Wednesday</v>
      </c>
      <c r="D238" s="5" t="str">
        <f>TEXT(B238,"MMMM")</f>
        <v>May</v>
      </c>
      <c r="E238" s="5" t="str">
        <f>IFERROR(VLOOKUP(D238,monthseason,2,FALSE),"unknown")</f>
        <v>Spring</v>
      </c>
      <c r="F238" t="s">
        <v>1</v>
      </c>
      <c r="G238" t="str">
        <f>IFERROR(VLOOKUP(F238,citycountry,2,FALSE),"unknown")</f>
        <v>France</v>
      </c>
      <c r="H238" t="s">
        <v>15</v>
      </c>
      <c r="I238" t="s">
        <v>35</v>
      </c>
      <c r="J238" t="s">
        <v>43</v>
      </c>
      <c r="K238" t="str">
        <f>IFERROR(VLOOKUP(J238,producttype,2,FALSE),"unknown")</f>
        <v>Hot</v>
      </c>
      <c r="L238">
        <v>730</v>
      </c>
      <c r="M238" s="2">
        <v>3251.75</v>
      </c>
    </row>
    <row r="239" spans="2:13" x14ac:dyDescent="0.2">
      <c r="B239" s="5">
        <v>38498.200421790229</v>
      </c>
      <c r="C239" s="5" t="str">
        <f t="shared" si="3"/>
        <v>Thursday</v>
      </c>
      <c r="D239" s="5" t="str">
        <f>TEXT(B239,"MMMM")</f>
        <v>May</v>
      </c>
      <c r="E239" s="5" t="str">
        <f>IFERROR(VLOOKUP(D239,monthseason,2,FALSE),"unknown")</f>
        <v>Spring</v>
      </c>
      <c r="F239" t="s">
        <v>1</v>
      </c>
      <c r="G239" t="str">
        <f>IFERROR(VLOOKUP(F239,citycountry,2,FALSE),"unknown")</f>
        <v>France</v>
      </c>
      <c r="H239" t="s">
        <v>11</v>
      </c>
      <c r="I239" t="s">
        <v>35</v>
      </c>
      <c r="J239" t="s">
        <v>43</v>
      </c>
      <c r="K239" t="str">
        <f>IFERROR(VLOOKUP(J239,producttype,2,FALSE),"unknown")</f>
        <v>Hot</v>
      </c>
      <c r="L239">
        <v>655</v>
      </c>
      <c r="M239" s="2">
        <v>3063.16</v>
      </c>
    </row>
    <row r="240" spans="2:13" x14ac:dyDescent="0.2">
      <c r="B240" s="5">
        <v>38503.136591256596</v>
      </c>
      <c r="C240" s="5" t="str">
        <f t="shared" si="3"/>
        <v>Tuesday</v>
      </c>
      <c r="D240" s="5" t="str">
        <f>TEXT(B240,"MMMM")</f>
        <v>May</v>
      </c>
      <c r="E240" s="5" t="str">
        <f>IFERROR(VLOOKUP(D240,monthseason,2,FALSE),"unknown")</f>
        <v>Spring</v>
      </c>
      <c r="F240" t="s">
        <v>1</v>
      </c>
      <c r="G240" t="str">
        <f>IFERROR(VLOOKUP(F240,citycountry,2,FALSE),"unknown")</f>
        <v>France</v>
      </c>
      <c r="H240" t="s">
        <v>8</v>
      </c>
      <c r="I240" t="s">
        <v>35</v>
      </c>
      <c r="J240" t="s">
        <v>40</v>
      </c>
      <c r="K240" t="str">
        <f>IFERROR(VLOOKUP(J240,producttype,2,FALSE),"unknown")</f>
        <v>Hot</v>
      </c>
      <c r="L240">
        <v>855</v>
      </c>
      <c r="M240" s="2">
        <v>1751.85</v>
      </c>
    </row>
    <row r="241" spans="2:13" x14ac:dyDescent="0.2">
      <c r="B241" s="5">
        <v>38537.651911331006</v>
      </c>
      <c r="C241" s="5" t="str">
        <f t="shared" si="3"/>
        <v>Monday</v>
      </c>
      <c r="D241" s="5" t="str">
        <f>TEXT(B241,"MMMM")</f>
        <v>July</v>
      </c>
      <c r="E241" s="5" t="str">
        <f>IFERROR(VLOOKUP(D241,monthseason,2,FALSE),"unknown")</f>
        <v>Summer</v>
      </c>
      <c r="F241" t="s">
        <v>1</v>
      </c>
      <c r="G241" t="str">
        <f>IFERROR(VLOOKUP(F241,citycountry,2,FALSE),"unknown")</f>
        <v>France</v>
      </c>
      <c r="H241" t="s">
        <v>15</v>
      </c>
      <c r="I241" t="s">
        <v>35</v>
      </c>
      <c r="J241" t="s">
        <v>40</v>
      </c>
      <c r="K241" t="str">
        <f>IFERROR(VLOOKUP(J241,producttype,2,FALSE),"unknown")</f>
        <v>Hot</v>
      </c>
      <c r="L241">
        <v>850</v>
      </c>
      <c r="M241" s="2">
        <v>1718.3</v>
      </c>
    </row>
    <row r="242" spans="2:13" x14ac:dyDescent="0.2">
      <c r="B242" s="5">
        <v>38482.165969635884</v>
      </c>
      <c r="C242" s="5" t="str">
        <f t="shared" si="3"/>
        <v>Tuesday</v>
      </c>
      <c r="D242" s="5" t="str">
        <f>TEXT(B242,"MMMM")</f>
        <v>May</v>
      </c>
      <c r="E242" s="5" t="str">
        <f>IFERROR(VLOOKUP(D242,monthseason,2,FALSE),"unknown")</f>
        <v>Spring</v>
      </c>
      <c r="F242" t="s">
        <v>1</v>
      </c>
      <c r="G242" t="str">
        <f>IFERROR(VLOOKUP(F242,citycountry,2,FALSE),"unknown")</f>
        <v>France</v>
      </c>
      <c r="H242" t="s">
        <v>13</v>
      </c>
      <c r="I242" t="s">
        <v>35</v>
      </c>
      <c r="J242" t="s">
        <v>41</v>
      </c>
      <c r="K242" t="str">
        <f>IFERROR(VLOOKUP(J242,producttype,2,FALSE),"unknown")</f>
        <v>Hot</v>
      </c>
      <c r="L242">
        <v>465</v>
      </c>
      <c r="M242" s="2">
        <v>1361.65</v>
      </c>
    </row>
    <row r="243" spans="2:13" x14ac:dyDescent="0.2">
      <c r="B243" s="5">
        <v>38477.318778297471</v>
      </c>
      <c r="C243" s="5" t="str">
        <f t="shared" si="3"/>
        <v>Thursday</v>
      </c>
      <c r="D243" s="5" t="str">
        <f>TEXT(B243,"MMMM")</f>
        <v>May</v>
      </c>
      <c r="E243" s="5" t="str">
        <f>IFERROR(VLOOKUP(D243,monthseason,2,FALSE),"unknown")</f>
        <v>Spring</v>
      </c>
      <c r="F243" t="s">
        <v>1</v>
      </c>
      <c r="G243" t="str">
        <f>IFERROR(VLOOKUP(F243,citycountry,2,FALSE),"unknown")</f>
        <v>France</v>
      </c>
      <c r="H243" t="s">
        <v>10</v>
      </c>
      <c r="I243" t="s">
        <v>35</v>
      </c>
      <c r="J243" t="s">
        <v>38</v>
      </c>
      <c r="K243" t="str">
        <f>IFERROR(VLOOKUP(J243,producttype,2,FALSE),"unknown")</f>
        <v>Hot</v>
      </c>
      <c r="L243">
        <v>345</v>
      </c>
      <c r="M243" s="2">
        <v>2279.08</v>
      </c>
    </row>
    <row r="244" spans="2:13" x14ac:dyDescent="0.2">
      <c r="B244" s="5">
        <v>38509.904475907511</v>
      </c>
      <c r="C244" s="5" t="str">
        <f t="shared" si="3"/>
        <v>Monday</v>
      </c>
      <c r="D244" s="5" t="str">
        <f>TEXT(B244,"MMMM")</f>
        <v>June</v>
      </c>
      <c r="E244" s="5" t="str">
        <f>IFERROR(VLOOKUP(D244,monthseason,2,FALSE),"unknown")</f>
        <v>Summer</v>
      </c>
      <c r="F244" t="s">
        <v>1</v>
      </c>
      <c r="G244" t="str">
        <f>IFERROR(VLOOKUP(F244,citycountry,2,FALSE),"unknown")</f>
        <v>France</v>
      </c>
      <c r="H244" t="s">
        <v>5</v>
      </c>
      <c r="I244" t="s">
        <v>26</v>
      </c>
      <c r="J244" t="s">
        <v>39</v>
      </c>
      <c r="K244" t="str">
        <f>IFERROR(VLOOKUP(J244,producttype,2,FALSE),"unknown")</f>
        <v>Cold</v>
      </c>
      <c r="L244">
        <v>380</v>
      </c>
      <c r="M244" s="2">
        <v>397.93</v>
      </c>
    </row>
    <row r="245" spans="2:13" x14ac:dyDescent="0.2">
      <c r="B245" s="5">
        <v>38516.513907942921</v>
      </c>
      <c r="C245" s="5" t="str">
        <f t="shared" si="3"/>
        <v>Monday</v>
      </c>
      <c r="D245" s="5" t="str">
        <f>TEXT(B245,"MMMM")</f>
        <v>June</v>
      </c>
      <c r="E245" s="5" t="str">
        <f>IFERROR(VLOOKUP(D245,monthseason,2,FALSE),"unknown")</f>
        <v>Summer</v>
      </c>
      <c r="F245" t="s">
        <v>1</v>
      </c>
      <c r="G245" t="str">
        <f>IFERROR(VLOOKUP(F245,citycountry,2,FALSE),"unknown")</f>
        <v>France</v>
      </c>
      <c r="H245" t="s">
        <v>8</v>
      </c>
      <c r="I245" t="s">
        <v>26</v>
      </c>
      <c r="J245" t="s">
        <v>39</v>
      </c>
      <c r="K245" t="str">
        <f>IFERROR(VLOOKUP(J245,producttype,2,FALSE),"unknown")</f>
        <v>Cold</v>
      </c>
      <c r="L245">
        <v>35</v>
      </c>
      <c r="M245" s="2">
        <v>14.24</v>
      </c>
    </row>
    <row r="246" spans="2:13" x14ac:dyDescent="0.2">
      <c r="B246" s="5">
        <v>38537.639312627383</v>
      </c>
      <c r="C246" s="5" t="str">
        <f t="shared" si="3"/>
        <v>Monday</v>
      </c>
      <c r="D246" s="5" t="str">
        <f>TEXT(B246,"MMMM")</f>
        <v>July</v>
      </c>
      <c r="E246" s="5" t="str">
        <f>IFERROR(VLOOKUP(D246,monthseason,2,FALSE),"unknown")</f>
        <v>Summer</v>
      </c>
      <c r="F246" t="s">
        <v>1</v>
      </c>
      <c r="G246" t="str">
        <f>IFERROR(VLOOKUP(F246,citycountry,2,FALSE),"unknown")</f>
        <v>France</v>
      </c>
      <c r="H246" t="s">
        <v>6</v>
      </c>
      <c r="I246" t="s">
        <v>26</v>
      </c>
      <c r="J246" t="s">
        <v>39</v>
      </c>
      <c r="K246" t="str">
        <f>IFERROR(VLOOKUP(J246,producttype,2,FALSE),"unknown")</f>
        <v>Cold</v>
      </c>
      <c r="L246">
        <v>165</v>
      </c>
      <c r="M246" s="2">
        <v>361.75</v>
      </c>
    </row>
    <row r="247" spans="2:13" x14ac:dyDescent="0.2">
      <c r="B247" s="5">
        <v>38456.360026124261</v>
      </c>
      <c r="C247" s="5" t="str">
        <f t="shared" si="3"/>
        <v>Thursday</v>
      </c>
      <c r="D247" s="5" t="str">
        <f>TEXT(B247,"MMMM")</f>
        <v>April</v>
      </c>
      <c r="E247" s="5" t="str">
        <f>IFERROR(VLOOKUP(D247,monthseason,2,FALSE),"unknown")</f>
        <v>Spring</v>
      </c>
      <c r="F247" t="s">
        <v>1</v>
      </c>
      <c r="G247" t="str">
        <f>IFERROR(VLOOKUP(F247,citycountry,2,FALSE),"unknown")</f>
        <v>France</v>
      </c>
      <c r="H247" t="s">
        <v>11</v>
      </c>
      <c r="I247" t="s">
        <v>26</v>
      </c>
      <c r="J247" t="s">
        <v>43</v>
      </c>
      <c r="K247" t="str">
        <f>IFERROR(VLOOKUP(J247,producttype,2,FALSE),"unknown")</f>
        <v>Hot</v>
      </c>
      <c r="L247">
        <v>890</v>
      </c>
      <c r="M247" s="2">
        <v>1992.82</v>
      </c>
    </row>
    <row r="248" spans="2:13" x14ac:dyDescent="0.2">
      <c r="B248" s="5">
        <v>38488.087763839329</v>
      </c>
      <c r="C248" s="5" t="str">
        <f t="shared" si="3"/>
        <v>Monday</v>
      </c>
      <c r="D248" s="5" t="str">
        <f>TEXT(B248,"MMMM")</f>
        <v>May</v>
      </c>
      <c r="E248" s="5" t="str">
        <f>IFERROR(VLOOKUP(D248,monthseason,2,FALSE),"unknown")</f>
        <v>Spring</v>
      </c>
      <c r="F248" t="s">
        <v>1</v>
      </c>
      <c r="G248" t="str">
        <f>IFERROR(VLOOKUP(F248,citycountry,2,FALSE),"unknown")</f>
        <v>France</v>
      </c>
      <c r="H248" t="s">
        <v>22</v>
      </c>
      <c r="I248" t="s">
        <v>26</v>
      </c>
      <c r="J248" t="s">
        <v>43</v>
      </c>
      <c r="K248" t="str">
        <f>IFERROR(VLOOKUP(J248,producttype,2,FALSE),"unknown")</f>
        <v>Hot</v>
      </c>
      <c r="L248">
        <v>875</v>
      </c>
      <c r="M248" s="2">
        <v>1938.65</v>
      </c>
    </row>
    <row r="249" spans="2:13" x14ac:dyDescent="0.2">
      <c r="B249" s="5">
        <v>38480.624153423669</v>
      </c>
      <c r="C249" s="5" t="str">
        <f t="shared" si="3"/>
        <v>Sunday</v>
      </c>
      <c r="D249" s="5" t="str">
        <f>TEXT(B249,"MMMM")</f>
        <v>May</v>
      </c>
      <c r="E249" s="5" t="str">
        <f>IFERROR(VLOOKUP(D249,monthseason,2,FALSE),"unknown")</f>
        <v>Spring</v>
      </c>
      <c r="F249" t="s">
        <v>1</v>
      </c>
      <c r="G249" t="str">
        <f>IFERROR(VLOOKUP(F249,citycountry,2,FALSE),"unknown")</f>
        <v>France</v>
      </c>
      <c r="H249" t="s">
        <v>21</v>
      </c>
      <c r="I249" t="s">
        <v>26</v>
      </c>
      <c r="J249" t="s">
        <v>40</v>
      </c>
      <c r="K249" t="str">
        <f>IFERROR(VLOOKUP(J249,producttype,2,FALSE),"unknown")</f>
        <v>Hot</v>
      </c>
      <c r="L249">
        <v>245</v>
      </c>
      <c r="M249" s="2">
        <v>559.94000000000005</v>
      </c>
    </row>
    <row r="250" spans="2:13" x14ac:dyDescent="0.2">
      <c r="B250" s="5">
        <v>38448.178420534707</v>
      </c>
      <c r="C250" s="5" t="str">
        <f t="shared" si="3"/>
        <v>Wednesday</v>
      </c>
      <c r="D250" s="5" t="str">
        <f>TEXT(B250,"MMMM")</f>
        <v>April</v>
      </c>
      <c r="E250" s="5" t="str">
        <f>IFERROR(VLOOKUP(D250,monthseason,2,FALSE),"unknown")</f>
        <v>Spring</v>
      </c>
      <c r="F250" t="s">
        <v>1</v>
      </c>
      <c r="G250" t="str">
        <f>IFERROR(VLOOKUP(F250,citycountry,2,FALSE),"unknown")</f>
        <v>France</v>
      </c>
      <c r="H250" t="s">
        <v>23</v>
      </c>
      <c r="I250" t="s">
        <v>26</v>
      </c>
      <c r="J250" t="s">
        <v>38</v>
      </c>
      <c r="K250" t="str">
        <f>IFERROR(VLOOKUP(J250,producttype,2,FALSE),"unknown")</f>
        <v>Hot</v>
      </c>
      <c r="L250">
        <v>700</v>
      </c>
      <c r="M250" s="2">
        <v>5034.1899999999996</v>
      </c>
    </row>
    <row r="251" spans="2:13" x14ac:dyDescent="0.2">
      <c r="B251" s="5">
        <v>38455.408400777989</v>
      </c>
      <c r="C251" s="5" t="str">
        <f t="shared" si="3"/>
        <v>Wednesday</v>
      </c>
      <c r="D251" s="5" t="str">
        <f>TEXT(B251,"MMMM")</f>
        <v>April</v>
      </c>
      <c r="E251" s="5" t="str">
        <f>IFERROR(VLOOKUP(D251,monthseason,2,FALSE),"unknown")</f>
        <v>Spring</v>
      </c>
      <c r="F251" t="s">
        <v>1</v>
      </c>
      <c r="G251" t="str">
        <f>IFERROR(VLOOKUP(F251,citycountry,2,FALSE),"unknown")</f>
        <v>France</v>
      </c>
      <c r="H251" t="s">
        <v>17</v>
      </c>
      <c r="I251" t="s">
        <v>25</v>
      </c>
      <c r="J251" t="s">
        <v>39</v>
      </c>
      <c r="K251" t="str">
        <f>IFERROR(VLOOKUP(J251,producttype,2,FALSE),"unknown")</f>
        <v>Cold</v>
      </c>
      <c r="L251">
        <v>185</v>
      </c>
      <c r="M251" s="2">
        <v>124.87</v>
      </c>
    </row>
    <row r="252" spans="2:13" x14ac:dyDescent="0.2">
      <c r="B252" s="5">
        <v>38474.577624792859</v>
      </c>
      <c r="C252" s="5" t="str">
        <f t="shared" si="3"/>
        <v>Monday</v>
      </c>
      <c r="D252" s="5" t="str">
        <f>TEXT(B252,"MMMM")</f>
        <v>May</v>
      </c>
      <c r="E252" s="5" t="str">
        <f>IFERROR(VLOOKUP(D252,monthseason,2,FALSE),"unknown")</f>
        <v>Spring</v>
      </c>
      <c r="F252" t="s">
        <v>1</v>
      </c>
      <c r="G252" t="str">
        <f>IFERROR(VLOOKUP(F252,citycountry,2,FALSE),"unknown")</f>
        <v>France</v>
      </c>
      <c r="H252" t="s">
        <v>19</v>
      </c>
      <c r="I252" t="s">
        <v>25</v>
      </c>
      <c r="J252" t="s">
        <v>39</v>
      </c>
      <c r="K252" t="str">
        <f>IFERROR(VLOOKUP(J252,producttype,2,FALSE),"unknown")</f>
        <v>Cold</v>
      </c>
      <c r="L252">
        <v>465</v>
      </c>
      <c r="M252" s="2">
        <v>201.41</v>
      </c>
    </row>
    <row r="253" spans="2:13" x14ac:dyDescent="0.2">
      <c r="B253" s="5">
        <v>38440.79522832096</v>
      </c>
      <c r="C253" s="5" t="str">
        <f t="shared" si="3"/>
        <v>Tuesday</v>
      </c>
      <c r="D253" s="5" t="str">
        <f>TEXT(B253,"MMMM")</f>
        <v>March</v>
      </c>
      <c r="E253" s="5" t="str">
        <f>IFERROR(VLOOKUP(D253,monthseason,2,FALSE),"unknown")</f>
        <v>Spring</v>
      </c>
      <c r="F253" t="s">
        <v>1</v>
      </c>
      <c r="G253" t="str">
        <f>IFERROR(VLOOKUP(F253,citycountry,2,FALSE),"unknown")</f>
        <v>France</v>
      </c>
      <c r="H253" t="s">
        <v>22</v>
      </c>
      <c r="I253" t="s">
        <v>25</v>
      </c>
      <c r="J253" t="s">
        <v>43</v>
      </c>
      <c r="K253" t="str">
        <f>IFERROR(VLOOKUP(J253,producttype,2,FALSE),"unknown")</f>
        <v>Hot</v>
      </c>
      <c r="L253">
        <v>765</v>
      </c>
      <c r="M253" s="2">
        <v>2466.41</v>
      </c>
    </row>
    <row r="254" spans="2:13" x14ac:dyDescent="0.2">
      <c r="B254" s="5">
        <v>38445.867356571049</v>
      </c>
      <c r="C254" s="5" t="str">
        <f t="shared" si="3"/>
        <v>Sunday</v>
      </c>
      <c r="D254" s="5" t="str">
        <f>TEXT(B254,"MMMM")</f>
        <v>April</v>
      </c>
      <c r="E254" s="5" t="str">
        <f>IFERROR(VLOOKUP(D254,monthseason,2,FALSE),"unknown")</f>
        <v>Spring</v>
      </c>
      <c r="F254" t="s">
        <v>1</v>
      </c>
      <c r="G254" t="str">
        <f>IFERROR(VLOOKUP(F254,citycountry,2,FALSE),"unknown")</f>
        <v>France</v>
      </c>
      <c r="H254" t="s">
        <v>24</v>
      </c>
      <c r="I254" t="s">
        <v>25</v>
      </c>
      <c r="J254" t="s">
        <v>43</v>
      </c>
      <c r="K254" t="str">
        <f>IFERROR(VLOOKUP(J254,producttype,2,FALSE),"unknown")</f>
        <v>Hot</v>
      </c>
      <c r="L254">
        <v>635</v>
      </c>
      <c r="M254" s="2">
        <v>2002.72</v>
      </c>
    </row>
    <row r="255" spans="2:13" x14ac:dyDescent="0.2">
      <c r="B255" s="5">
        <v>38492.521981829115</v>
      </c>
      <c r="C255" s="5" t="str">
        <f t="shared" si="3"/>
        <v>Friday</v>
      </c>
      <c r="D255" s="5" t="str">
        <f>TEXT(B255,"MMMM")</f>
        <v>May</v>
      </c>
      <c r="E255" s="5" t="str">
        <f>IFERROR(VLOOKUP(D255,monthseason,2,FALSE),"unknown")</f>
        <v>Spring</v>
      </c>
      <c r="F255" t="s">
        <v>1</v>
      </c>
      <c r="G255" t="str">
        <f>IFERROR(VLOOKUP(F255,citycountry,2,FALSE),"unknown")</f>
        <v>France</v>
      </c>
      <c r="H255" t="s">
        <v>7</v>
      </c>
      <c r="I255" t="s">
        <v>25</v>
      </c>
      <c r="J255" t="s">
        <v>43</v>
      </c>
      <c r="K255" t="str">
        <f>IFERROR(VLOOKUP(J255,producttype,2,FALSE),"unknown")</f>
        <v>Hot</v>
      </c>
      <c r="L255">
        <v>145</v>
      </c>
      <c r="M255" s="2">
        <v>488.91</v>
      </c>
    </row>
    <row r="256" spans="2:13" x14ac:dyDescent="0.2">
      <c r="B256" s="5">
        <v>38462.413214898712</v>
      </c>
      <c r="C256" s="5" t="str">
        <f t="shared" si="3"/>
        <v>Wednesday</v>
      </c>
      <c r="D256" s="5" t="str">
        <f>TEXT(B256,"MMMM")</f>
        <v>April</v>
      </c>
      <c r="E256" s="5" t="str">
        <f>IFERROR(VLOOKUP(D256,monthseason,2,FALSE),"unknown")</f>
        <v>Spring</v>
      </c>
      <c r="F256" t="s">
        <v>1</v>
      </c>
      <c r="G256" t="str">
        <f>IFERROR(VLOOKUP(F256,citycountry,2,FALSE),"unknown")</f>
        <v>France</v>
      </c>
      <c r="H256" t="s">
        <v>11</v>
      </c>
      <c r="I256" t="s">
        <v>25</v>
      </c>
      <c r="J256" t="s">
        <v>28</v>
      </c>
      <c r="K256" t="str">
        <f>IFERROR(VLOOKUP(J256,producttype,2,FALSE),"unknown")</f>
        <v>Hot</v>
      </c>
      <c r="L256">
        <v>440</v>
      </c>
      <c r="M256" s="2">
        <v>1118.19</v>
      </c>
    </row>
    <row r="257" spans="2:13" x14ac:dyDescent="0.2">
      <c r="B257" s="5">
        <v>38455.796169425936</v>
      </c>
      <c r="C257" s="5" t="str">
        <f t="shared" si="3"/>
        <v>Wednesday</v>
      </c>
      <c r="D257" s="5" t="str">
        <f>TEXT(B257,"MMMM")</f>
        <v>April</v>
      </c>
      <c r="E257" s="5" t="str">
        <f>IFERROR(VLOOKUP(D257,monthseason,2,FALSE),"unknown")</f>
        <v>Spring</v>
      </c>
      <c r="F257" t="s">
        <v>1</v>
      </c>
      <c r="G257" t="str">
        <f>IFERROR(VLOOKUP(F257,citycountry,2,FALSE),"unknown")</f>
        <v>France</v>
      </c>
      <c r="H257" t="s">
        <v>19</v>
      </c>
      <c r="I257" t="s">
        <v>25</v>
      </c>
      <c r="J257" t="s">
        <v>41</v>
      </c>
      <c r="K257" t="str">
        <f>IFERROR(VLOOKUP(J257,producttype,2,FALSE),"unknown")</f>
        <v>Hot</v>
      </c>
      <c r="L257">
        <v>245</v>
      </c>
      <c r="M257" s="2">
        <v>500.87</v>
      </c>
    </row>
    <row r="258" spans="2:13" x14ac:dyDescent="0.2">
      <c r="B258" s="5">
        <v>38464.014275481975</v>
      </c>
      <c r="C258" s="5" t="str">
        <f t="shared" si="3"/>
        <v>Friday</v>
      </c>
      <c r="D258" s="5" t="str">
        <f>TEXT(B258,"MMMM")</f>
        <v>April</v>
      </c>
      <c r="E258" s="5" t="str">
        <f>IFERROR(VLOOKUP(D258,monthseason,2,FALSE),"unknown")</f>
        <v>Spring</v>
      </c>
      <c r="F258" t="s">
        <v>1</v>
      </c>
      <c r="G258" t="str">
        <f>IFERROR(VLOOKUP(F258,citycountry,2,FALSE),"unknown")</f>
        <v>France</v>
      </c>
      <c r="H258" t="s">
        <v>6</v>
      </c>
      <c r="I258" t="s">
        <v>25</v>
      </c>
      <c r="J258" t="s">
        <v>27</v>
      </c>
      <c r="K258" t="str">
        <f>IFERROR(VLOOKUP(J258,producttype,2,FALSE),"unknown")</f>
        <v>Cold</v>
      </c>
      <c r="L258">
        <v>290</v>
      </c>
      <c r="M258" s="2">
        <v>573.73</v>
      </c>
    </row>
    <row r="259" spans="2:13" x14ac:dyDescent="0.2">
      <c r="B259" s="5">
        <v>38475.983660759259</v>
      </c>
      <c r="C259" s="5" t="str">
        <f t="shared" si="3"/>
        <v>Tuesday</v>
      </c>
      <c r="D259" s="5" t="str">
        <f>TEXT(B259,"MMMM")</f>
        <v>May</v>
      </c>
      <c r="E259" s="5" t="str">
        <f>IFERROR(VLOOKUP(D259,monthseason,2,FALSE),"unknown")</f>
        <v>Spring</v>
      </c>
      <c r="F259" t="s">
        <v>1</v>
      </c>
      <c r="G259" t="str">
        <f>IFERROR(VLOOKUP(F259,citycountry,2,FALSE),"unknown")</f>
        <v>France</v>
      </c>
      <c r="H259" t="s">
        <v>8</v>
      </c>
      <c r="I259" t="s">
        <v>25</v>
      </c>
      <c r="J259" t="s">
        <v>27</v>
      </c>
      <c r="K259" t="str">
        <f>IFERROR(VLOOKUP(J259,producttype,2,FALSE),"unknown")</f>
        <v>Cold</v>
      </c>
      <c r="L259">
        <v>800</v>
      </c>
      <c r="M259" s="2">
        <v>1594.81</v>
      </c>
    </row>
    <row r="260" spans="2:13" x14ac:dyDescent="0.2">
      <c r="B260" s="5">
        <v>38477.757414536187</v>
      </c>
      <c r="C260" s="5" t="str">
        <f t="shared" ref="C260:C323" si="4">TEXT(B260,"dddd")</f>
        <v>Thursday</v>
      </c>
      <c r="D260" s="5" t="str">
        <f>TEXT(B260,"MMMM")</f>
        <v>May</v>
      </c>
      <c r="E260" s="5" t="str">
        <f>IFERROR(VLOOKUP(D260,monthseason,2,FALSE),"unknown")</f>
        <v>Spring</v>
      </c>
      <c r="F260" t="s">
        <v>1</v>
      </c>
      <c r="G260" t="str">
        <f>IFERROR(VLOOKUP(F260,citycountry,2,FALSE),"unknown")</f>
        <v>France</v>
      </c>
      <c r="H260" t="s">
        <v>18</v>
      </c>
      <c r="I260" t="s">
        <v>25</v>
      </c>
      <c r="J260" t="s">
        <v>27</v>
      </c>
      <c r="K260" t="str">
        <f>IFERROR(VLOOKUP(J260,producttype,2,FALSE),"unknown")</f>
        <v>Cold</v>
      </c>
      <c r="L260">
        <v>905</v>
      </c>
      <c r="M260" s="2">
        <v>2673.33</v>
      </c>
    </row>
    <row r="261" spans="2:13" x14ac:dyDescent="0.2">
      <c r="B261" s="5">
        <v>38478.260484089384</v>
      </c>
      <c r="C261" s="5" t="str">
        <f t="shared" si="4"/>
        <v>Friday</v>
      </c>
      <c r="D261" s="5" t="str">
        <f>TEXT(B261,"MMMM")</f>
        <v>May</v>
      </c>
      <c r="E261" s="5" t="str">
        <f>IFERROR(VLOOKUP(D261,monthseason,2,FALSE),"unknown")</f>
        <v>Spring</v>
      </c>
      <c r="F261" t="s">
        <v>1</v>
      </c>
      <c r="G261" t="str">
        <f>IFERROR(VLOOKUP(F261,citycountry,2,FALSE),"unknown")</f>
        <v>France</v>
      </c>
      <c r="H261" t="s">
        <v>6</v>
      </c>
      <c r="I261" t="s">
        <v>25</v>
      </c>
      <c r="J261" t="s">
        <v>38</v>
      </c>
      <c r="K261" t="str">
        <f>IFERROR(VLOOKUP(J261,producttype,2,FALSE),"unknown")</f>
        <v>Hot</v>
      </c>
      <c r="L261">
        <v>340</v>
      </c>
      <c r="M261" s="2">
        <v>1609.33</v>
      </c>
    </row>
    <row r="262" spans="2:13" x14ac:dyDescent="0.2">
      <c r="B262" s="5">
        <v>38435.690081368361</v>
      </c>
      <c r="C262" s="5" t="str">
        <f t="shared" si="4"/>
        <v>Thursday</v>
      </c>
      <c r="D262" s="5" t="str">
        <f>TEXT(B262,"MMMM")</f>
        <v>March</v>
      </c>
      <c r="E262" s="5" t="str">
        <f>IFERROR(VLOOKUP(D262,monthseason,2,FALSE),"unknown")</f>
        <v>Spring</v>
      </c>
      <c r="F262" t="s">
        <v>1</v>
      </c>
      <c r="G262" t="str">
        <f>IFERROR(VLOOKUP(F262,citycountry,2,FALSE),"unknown")</f>
        <v>France</v>
      </c>
      <c r="H262" t="s">
        <v>5</v>
      </c>
      <c r="I262" t="s">
        <v>29</v>
      </c>
      <c r="J262" t="s">
        <v>39</v>
      </c>
      <c r="K262" t="str">
        <f>IFERROR(VLOOKUP(J262,producttype,2,FALSE),"unknown")</f>
        <v>Cold</v>
      </c>
      <c r="L262">
        <v>320</v>
      </c>
      <c r="M262" s="2">
        <v>342.55</v>
      </c>
    </row>
    <row r="263" spans="2:13" x14ac:dyDescent="0.2">
      <c r="B263" s="5">
        <v>38454.479317610247</v>
      </c>
      <c r="C263" s="5" t="str">
        <f t="shared" si="4"/>
        <v>Tuesday</v>
      </c>
      <c r="D263" s="5" t="str">
        <f>TEXT(B263,"MMMM")</f>
        <v>April</v>
      </c>
      <c r="E263" s="5" t="str">
        <f>IFERROR(VLOOKUP(D263,monthseason,2,FALSE),"unknown")</f>
        <v>Spring</v>
      </c>
      <c r="F263" t="s">
        <v>1</v>
      </c>
      <c r="G263" t="str">
        <f>IFERROR(VLOOKUP(F263,citycountry,2,FALSE),"unknown")</f>
        <v>France</v>
      </c>
      <c r="H263" t="s">
        <v>13</v>
      </c>
      <c r="I263" t="s">
        <v>29</v>
      </c>
      <c r="J263" t="s">
        <v>39</v>
      </c>
      <c r="K263" t="str">
        <f>IFERROR(VLOOKUP(J263,producttype,2,FALSE),"unknown")</f>
        <v>Cold</v>
      </c>
      <c r="L263">
        <v>45</v>
      </c>
      <c r="M263" s="2">
        <v>51.01</v>
      </c>
    </row>
    <row r="264" spans="2:13" x14ac:dyDescent="0.2">
      <c r="B264" s="5">
        <v>38497.47777404228</v>
      </c>
      <c r="C264" s="5" t="str">
        <f t="shared" si="4"/>
        <v>Wednesday</v>
      </c>
      <c r="D264" s="5" t="str">
        <f>TEXT(B264,"MMMM")</f>
        <v>May</v>
      </c>
      <c r="E264" s="5" t="str">
        <f>IFERROR(VLOOKUP(D264,monthseason,2,FALSE),"unknown")</f>
        <v>Spring</v>
      </c>
      <c r="F264" t="s">
        <v>1</v>
      </c>
      <c r="G264" t="str">
        <f>IFERROR(VLOOKUP(F264,citycountry,2,FALSE),"unknown")</f>
        <v>France</v>
      </c>
      <c r="H264" t="s">
        <v>17</v>
      </c>
      <c r="I264" t="s">
        <v>29</v>
      </c>
      <c r="J264" t="s">
        <v>39</v>
      </c>
      <c r="K264" t="str">
        <f>IFERROR(VLOOKUP(J264,producttype,2,FALSE),"unknown")</f>
        <v>Cold</v>
      </c>
      <c r="L264">
        <v>855</v>
      </c>
      <c r="M264" s="2">
        <v>970.07</v>
      </c>
    </row>
    <row r="265" spans="2:13" x14ac:dyDescent="0.2">
      <c r="B265" s="5">
        <v>38504.654792510148</v>
      </c>
      <c r="C265" s="5" t="str">
        <f t="shared" si="4"/>
        <v>Wednesday</v>
      </c>
      <c r="D265" s="5" t="str">
        <f>TEXT(B265,"MMMM")</f>
        <v>June</v>
      </c>
      <c r="E265" s="5" t="str">
        <f>IFERROR(VLOOKUP(D265,monthseason,2,FALSE),"unknown")</f>
        <v>Summer</v>
      </c>
      <c r="F265" t="s">
        <v>1</v>
      </c>
      <c r="G265" t="str">
        <f>IFERROR(VLOOKUP(F265,citycountry,2,FALSE),"unknown")</f>
        <v>France</v>
      </c>
      <c r="H265" t="s">
        <v>7</v>
      </c>
      <c r="I265" t="s">
        <v>29</v>
      </c>
      <c r="J265" t="s">
        <v>39</v>
      </c>
      <c r="K265" t="str">
        <f>IFERROR(VLOOKUP(J265,producttype,2,FALSE),"unknown")</f>
        <v>Cold</v>
      </c>
      <c r="L265">
        <v>550</v>
      </c>
      <c r="M265" s="2">
        <v>3934.16</v>
      </c>
    </row>
    <row r="266" spans="2:13" x14ac:dyDescent="0.2">
      <c r="B266" s="5">
        <v>38478.279575326887</v>
      </c>
      <c r="C266" s="5" t="str">
        <f t="shared" si="4"/>
        <v>Friday</v>
      </c>
      <c r="D266" s="5" t="str">
        <f>TEXT(B266,"MMMM")</f>
        <v>May</v>
      </c>
      <c r="E266" s="5" t="str">
        <f>IFERROR(VLOOKUP(D266,monthseason,2,FALSE),"unknown")</f>
        <v>Spring</v>
      </c>
      <c r="F266" t="s">
        <v>1</v>
      </c>
      <c r="G266" t="str">
        <f>IFERROR(VLOOKUP(F266,citycountry,2,FALSE),"unknown")</f>
        <v>France</v>
      </c>
      <c r="H266" t="s">
        <v>9</v>
      </c>
      <c r="I266" t="s">
        <v>29</v>
      </c>
      <c r="J266" t="s">
        <v>43</v>
      </c>
      <c r="K266" t="str">
        <f>IFERROR(VLOOKUP(J266,producttype,2,FALSE),"unknown")</f>
        <v>Hot</v>
      </c>
      <c r="L266">
        <v>240</v>
      </c>
      <c r="M266" s="2">
        <v>1420.1</v>
      </c>
    </row>
    <row r="267" spans="2:13" x14ac:dyDescent="0.2">
      <c r="B267" s="5">
        <v>38503.003864335449</v>
      </c>
      <c r="C267" s="5" t="str">
        <f t="shared" si="4"/>
        <v>Tuesday</v>
      </c>
      <c r="D267" s="5" t="str">
        <f>TEXT(B267,"MMMM")</f>
        <v>May</v>
      </c>
      <c r="E267" s="5" t="str">
        <f>IFERROR(VLOOKUP(D267,monthseason,2,FALSE),"unknown")</f>
        <v>Spring</v>
      </c>
      <c r="F267" t="s">
        <v>1</v>
      </c>
      <c r="G267" t="str">
        <f>IFERROR(VLOOKUP(F267,citycountry,2,FALSE),"unknown")</f>
        <v>France</v>
      </c>
      <c r="H267" t="s">
        <v>10</v>
      </c>
      <c r="I267" t="s">
        <v>29</v>
      </c>
      <c r="J267" t="s">
        <v>43</v>
      </c>
      <c r="K267" t="str">
        <f>IFERROR(VLOOKUP(J267,producttype,2,FALSE),"unknown")</f>
        <v>Hot</v>
      </c>
      <c r="L267">
        <v>330</v>
      </c>
      <c r="M267" s="2">
        <v>1785.88</v>
      </c>
    </row>
    <row r="268" spans="2:13" x14ac:dyDescent="0.2">
      <c r="B268" s="5">
        <v>38423.897439834007</v>
      </c>
      <c r="C268" s="5" t="str">
        <f t="shared" si="4"/>
        <v>Saturday</v>
      </c>
      <c r="D268" s="5" t="str">
        <f>TEXT(B268,"MMMM")</f>
        <v>March</v>
      </c>
      <c r="E268" s="5" t="str">
        <f>IFERROR(VLOOKUP(D268,monthseason,2,FALSE),"unknown")</f>
        <v>Spring</v>
      </c>
      <c r="F268" t="s">
        <v>1</v>
      </c>
      <c r="G268" t="str">
        <f>IFERROR(VLOOKUP(F268,citycountry,2,FALSE),"unknown")</f>
        <v>France</v>
      </c>
      <c r="H268" t="s">
        <v>24</v>
      </c>
      <c r="I268" t="s">
        <v>29</v>
      </c>
      <c r="J268" t="s">
        <v>40</v>
      </c>
      <c r="K268" t="str">
        <f>IFERROR(VLOOKUP(J268,producttype,2,FALSE),"unknown")</f>
        <v>Hot</v>
      </c>
      <c r="L268">
        <v>110</v>
      </c>
      <c r="M268" s="2">
        <v>259.08</v>
      </c>
    </row>
    <row r="269" spans="2:13" x14ac:dyDescent="0.2">
      <c r="B269" s="5">
        <v>38459.836643890783</v>
      </c>
      <c r="C269" s="5" t="str">
        <f t="shared" si="4"/>
        <v>Sunday</v>
      </c>
      <c r="D269" s="5" t="str">
        <f>TEXT(B269,"MMMM")</f>
        <v>April</v>
      </c>
      <c r="E269" s="5" t="str">
        <f>IFERROR(VLOOKUP(D269,monthseason,2,FALSE),"unknown")</f>
        <v>Spring</v>
      </c>
      <c r="F269" t="s">
        <v>1</v>
      </c>
      <c r="G269" t="str">
        <f>IFERROR(VLOOKUP(F269,citycountry,2,FALSE),"unknown")</f>
        <v>France</v>
      </c>
      <c r="H269" t="s">
        <v>9</v>
      </c>
      <c r="I269" t="s">
        <v>29</v>
      </c>
      <c r="J269" t="s">
        <v>40</v>
      </c>
      <c r="K269" t="str">
        <f>IFERROR(VLOOKUP(J269,producttype,2,FALSE),"unknown")</f>
        <v>Hot</v>
      </c>
      <c r="L269">
        <v>895</v>
      </c>
      <c r="M269" s="2">
        <v>1599.63</v>
      </c>
    </row>
    <row r="270" spans="2:13" x14ac:dyDescent="0.2">
      <c r="B270" s="5">
        <v>38485.761781515961</v>
      </c>
      <c r="C270" s="5" t="str">
        <f t="shared" si="4"/>
        <v>Friday</v>
      </c>
      <c r="D270" s="5" t="str">
        <f>TEXT(B270,"MMMM")</f>
        <v>May</v>
      </c>
      <c r="E270" s="5" t="str">
        <f>IFERROR(VLOOKUP(D270,monthseason,2,FALSE),"unknown")</f>
        <v>Spring</v>
      </c>
      <c r="F270" t="s">
        <v>1</v>
      </c>
      <c r="G270" t="str">
        <f>IFERROR(VLOOKUP(F270,citycountry,2,FALSE),"unknown")</f>
        <v>France</v>
      </c>
      <c r="H270" t="s">
        <v>13</v>
      </c>
      <c r="I270" t="s">
        <v>29</v>
      </c>
      <c r="J270" t="s">
        <v>40</v>
      </c>
      <c r="K270" t="str">
        <f>IFERROR(VLOOKUP(J270,producttype,2,FALSE),"unknown")</f>
        <v>Hot</v>
      </c>
      <c r="L270">
        <v>415</v>
      </c>
      <c r="M270" s="2">
        <v>866.84</v>
      </c>
    </row>
    <row r="271" spans="2:13" x14ac:dyDescent="0.2">
      <c r="B271" s="5">
        <v>38497.045827023547</v>
      </c>
      <c r="C271" s="5" t="str">
        <f t="shared" si="4"/>
        <v>Wednesday</v>
      </c>
      <c r="D271" s="5" t="str">
        <f>TEXT(B271,"MMMM")</f>
        <v>May</v>
      </c>
      <c r="E271" s="5" t="str">
        <f>IFERROR(VLOOKUP(D271,monthseason,2,FALSE),"unknown")</f>
        <v>Spring</v>
      </c>
      <c r="F271" t="s">
        <v>1</v>
      </c>
      <c r="G271" t="str">
        <f>IFERROR(VLOOKUP(F271,citycountry,2,FALSE),"unknown")</f>
        <v>France</v>
      </c>
      <c r="H271" t="s">
        <v>13</v>
      </c>
      <c r="I271" t="s">
        <v>29</v>
      </c>
      <c r="J271" t="s">
        <v>40</v>
      </c>
      <c r="K271" t="str">
        <f>IFERROR(VLOOKUP(J271,producttype,2,FALSE),"unknown")</f>
        <v>Hot</v>
      </c>
      <c r="L271">
        <v>115</v>
      </c>
      <c r="M271" s="2">
        <v>243.94</v>
      </c>
    </row>
    <row r="272" spans="2:13" x14ac:dyDescent="0.2">
      <c r="B272" s="5">
        <v>38461.045290701331</v>
      </c>
      <c r="C272" s="5" t="str">
        <f t="shared" si="4"/>
        <v>Tuesday</v>
      </c>
      <c r="D272" s="5" t="str">
        <f>TEXT(B272,"MMMM")</f>
        <v>April</v>
      </c>
      <c r="E272" s="5" t="str">
        <f>IFERROR(VLOOKUP(D272,monthseason,2,FALSE),"unknown")</f>
        <v>Spring</v>
      </c>
      <c r="F272" t="s">
        <v>1</v>
      </c>
      <c r="G272" t="str">
        <f>IFERROR(VLOOKUP(F272,citycountry,2,FALSE),"unknown")</f>
        <v>France</v>
      </c>
      <c r="H272" t="s">
        <v>22</v>
      </c>
      <c r="I272" t="s">
        <v>29</v>
      </c>
      <c r="J272" t="s">
        <v>28</v>
      </c>
      <c r="K272" t="str">
        <f>IFERROR(VLOOKUP(J272,producttype,2,FALSE),"unknown")</f>
        <v>Hot</v>
      </c>
      <c r="L272">
        <v>875</v>
      </c>
      <c r="M272" s="2">
        <v>3652.67</v>
      </c>
    </row>
    <row r="273" spans="2:13" x14ac:dyDescent="0.2">
      <c r="B273" s="5">
        <v>38501.347451887261</v>
      </c>
      <c r="C273" s="5" t="str">
        <f t="shared" si="4"/>
        <v>Sunday</v>
      </c>
      <c r="D273" s="5" t="str">
        <f>TEXT(B273,"MMMM")</f>
        <v>May</v>
      </c>
      <c r="E273" s="5" t="str">
        <f>IFERROR(VLOOKUP(D273,monthseason,2,FALSE),"unknown")</f>
        <v>Spring</v>
      </c>
      <c r="F273" t="s">
        <v>1</v>
      </c>
      <c r="G273" t="str">
        <f>IFERROR(VLOOKUP(F273,citycountry,2,FALSE),"unknown")</f>
        <v>France</v>
      </c>
      <c r="H273" t="s">
        <v>13</v>
      </c>
      <c r="I273" t="s">
        <v>29</v>
      </c>
      <c r="J273" t="s">
        <v>28</v>
      </c>
      <c r="K273" t="str">
        <f>IFERROR(VLOOKUP(J273,producttype,2,FALSE),"unknown")</f>
        <v>Hot</v>
      </c>
      <c r="L273">
        <v>310</v>
      </c>
      <c r="M273" s="2">
        <v>779.41</v>
      </c>
    </row>
    <row r="274" spans="2:13" x14ac:dyDescent="0.2">
      <c r="B274" s="5">
        <v>38442.540137306016</v>
      </c>
      <c r="C274" s="5" t="str">
        <f t="shared" si="4"/>
        <v>Thursday</v>
      </c>
      <c r="D274" s="5" t="str">
        <f>TEXT(B274,"MMMM")</f>
        <v>March</v>
      </c>
      <c r="E274" s="5" t="str">
        <f>IFERROR(VLOOKUP(D274,monthseason,2,FALSE),"unknown")</f>
        <v>Spring</v>
      </c>
      <c r="F274" t="s">
        <v>1</v>
      </c>
      <c r="G274" t="str">
        <f>IFERROR(VLOOKUP(F274,citycountry,2,FALSE),"unknown")</f>
        <v>France</v>
      </c>
      <c r="H274" t="s">
        <v>20</v>
      </c>
      <c r="I274" t="s">
        <v>29</v>
      </c>
      <c r="J274" t="s">
        <v>27</v>
      </c>
      <c r="K274" t="str">
        <f>IFERROR(VLOOKUP(J274,producttype,2,FALSE),"unknown")</f>
        <v>Cold</v>
      </c>
      <c r="L274">
        <v>925</v>
      </c>
      <c r="M274" s="2">
        <v>2802.16</v>
      </c>
    </row>
    <row r="275" spans="2:13" x14ac:dyDescent="0.2">
      <c r="B275" s="5">
        <v>38515.267679109122</v>
      </c>
      <c r="C275" s="5" t="str">
        <f t="shared" si="4"/>
        <v>Sunday</v>
      </c>
      <c r="D275" s="5" t="str">
        <f>TEXT(B275,"MMMM")</f>
        <v>June</v>
      </c>
      <c r="E275" s="5" t="str">
        <f>IFERROR(VLOOKUP(D275,monthseason,2,FALSE),"unknown")</f>
        <v>Summer</v>
      </c>
      <c r="F275" t="s">
        <v>1</v>
      </c>
      <c r="G275" t="str">
        <f>IFERROR(VLOOKUP(F275,citycountry,2,FALSE),"unknown")</f>
        <v>France</v>
      </c>
      <c r="H275" t="s">
        <v>9</v>
      </c>
      <c r="I275" t="s">
        <v>29</v>
      </c>
      <c r="J275" t="s">
        <v>27</v>
      </c>
      <c r="K275" t="str">
        <f>IFERROR(VLOOKUP(J275,producttype,2,FALSE),"unknown")</f>
        <v>Cold</v>
      </c>
      <c r="L275">
        <v>265</v>
      </c>
      <c r="M275" s="2">
        <v>936.05</v>
      </c>
    </row>
    <row r="276" spans="2:13" x14ac:dyDescent="0.2">
      <c r="B276" s="5">
        <v>38529.784413024623</v>
      </c>
      <c r="C276" s="5" t="str">
        <f t="shared" si="4"/>
        <v>Sunday</v>
      </c>
      <c r="D276" s="5" t="str">
        <f>TEXT(B276,"MMMM")</f>
        <v>June</v>
      </c>
      <c r="E276" s="5" t="str">
        <f>IFERROR(VLOOKUP(D276,monthseason,2,FALSE),"unknown")</f>
        <v>Summer</v>
      </c>
      <c r="F276" t="s">
        <v>1</v>
      </c>
      <c r="G276" t="str">
        <f>IFERROR(VLOOKUP(F276,citycountry,2,FALSE),"unknown")</f>
        <v>France</v>
      </c>
      <c r="H276" t="s">
        <v>9</v>
      </c>
      <c r="I276" t="s">
        <v>29</v>
      </c>
      <c r="J276" t="s">
        <v>27</v>
      </c>
      <c r="K276" t="str">
        <f>IFERROR(VLOOKUP(J276,producttype,2,FALSE),"unknown")</f>
        <v>Cold</v>
      </c>
      <c r="L276">
        <v>125</v>
      </c>
      <c r="M276" s="2">
        <v>420.82</v>
      </c>
    </row>
    <row r="277" spans="2:13" x14ac:dyDescent="0.2">
      <c r="B277" s="5">
        <v>38539.088286773658</v>
      </c>
      <c r="C277" s="5" t="str">
        <f t="shared" si="4"/>
        <v>Wednesday</v>
      </c>
      <c r="D277" s="5" t="str">
        <f>TEXT(B277,"MMMM")</f>
        <v>July</v>
      </c>
      <c r="E277" s="5" t="str">
        <f>IFERROR(VLOOKUP(D277,monthseason,2,FALSE),"unknown")</f>
        <v>Summer</v>
      </c>
      <c r="F277" t="s">
        <v>1</v>
      </c>
      <c r="G277" t="str">
        <f>IFERROR(VLOOKUP(F277,citycountry,2,FALSE),"unknown")</f>
        <v>France</v>
      </c>
      <c r="H277" t="s">
        <v>24</v>
      </c>
      <c r="I277" t="s">
        <v>29</v>
      </c>
      <c r="J277" t="s">
        <v>27</v>
      </c>
      <c r="K277" t="str">
        <f>IFERROR(VLOOKUP(J277,producttype,2,FALSE),"unknown")</f>
        <v>Cold</v>
      </c>
      <c r="L277">
        <v>120</v>
      </c>
      <c r="M277" s="2">
        <v>878.73</v>
      </c>
    </row>
    <row r="278" spans="2:13" x14ac:dyDescent="0.2">
      <c r="B278" s="5">
        <v>38512.262453010328</v>
      </c>
      <c r="C278" s="5" t="str">
        <f t="shared" si="4"/>
        <v>Thursday</v>
      </c>
      <c r="D278" s="5" t="str">
        <f>TEXT(B278,"MMMM")</f>
        <v>June</v>
      </c>
      <c r="E278" s="5" t="str">
        <f>IFERROR(VLOOKUP(D278,monthseason,2,FALSE),"unknown")</f>
        <v>Summer</v>
      </c>
      <c r="F278" t="s">
        <v>0</v>
      </c>
      <c r="G278" t="str">
        <f>IFERROR(VLOOKUP(F278,citycountry,2,FALSE),"unknown")</f>
        <v>Portugal</v>
      </c>
      <c r="H278" t="s">
        <v>15</v>
      </c>
      <c r="I278" t="s">
        <v>35</v>
      </c>
      <c r="J278" t="s">
        <v>39</v>
      </c>
      <c r="K278" t="str">
        <f>IFERROR(VLOOKUP(J278,producttype,2,FALSE),"unknown")</f>
        <v>Cold</v>
      </c>
      <c r="L278">
        <v>550</v>
      </c>
      <c r="M278" s="2">
        <v>3480.86</v>
      </c>
    </row>
    <row r="279" spans="2:13" x14ac:dyDescent="0.2">
      <c r="B279" s="5">
        <v>38520.399370577208</v>
      </c>
      <c r="C279" s="5" t="str">
        <f t="shared" si="4"/>
        <v>Friday</v>
      </c>
      <c r="D279" s="5" t="str">
        <f>TEXT(B279,"MMMM")</f>
        <v>June</v>
      </c>
      <c r="E279" s="5" t="str">
        <f>IFERROR(VLOOKUP(D279,monthseason,2,FALSE),"unknown")</f>
        <v>Summer</v>
      </c>
      <c r="F279" t="s">
        <v>0</v>
      </c>
      <c r="G279" t="str">
        <f>IFERROR(VLOOKUP(F279,citycountry,2,FALSE),"unknown")</f>
        <v>Portugal</v>
      </c>
      <c r="H279" t="s">
        <v>14</v>
      </c>
      <c r="I279" t="s">
        <v>35</v>
      </c>
      <c r="J279" t="s">
        <v>39</v>
      </c>
      <c r="K279" t="str">
        <f>IFERROR(VLOOKUP(J279,producttype,2,FALSE),"unknown")</f>
        <v>Cold</v>
      </c>
      <c r="L279">
        <v>500</v>
      </c>
      <c r="M279" s="2">
        <v>2522.6799999999998</v>
      </c>
    </row>
    <row r="280" spans="2:13" x14ac:dyDescent="0.2">
      <c r="B280" s="5">
        <v>38418.1801149393</v>
      </c>
      <c r="C280" s="5" t="str">
        <f t="shared" si="4"/>
        <v>Monday</v>
      </c>
      <c r="D280" s="5" t="str">
        <f>TEXT(B280,"MMMM")</f>
        <v>March</v>
      </c>
      <c r="E280" s="5" t="str">
        <f>IFERROR(VLOOKUP(D280,monthseason,2,FALSE),"unknown")</f>
        <v>Spring</v>
      </c>
      <c r="F280" t="s">
        <v>0</v>
      </c>
      <c r="G280" t="str">
        <f>IFERROR(VLOOKUP(F280,citycountry,2,FALSE),"unknown")</f>
        <v>Portugal</v>
      </c>
      <c r="H280" t="s">
        <v>15</v>
      </c>
      <c r="I280" t="s">
        <v>35</v>
      </c>
      <c r="J280" t="s">
        <v>43</v>
      </c>
      <c r="K280" t="str">
        <f>IFERROR(VLOOKUP(J280,producttype,2,FALSE),"unknown")</f>
        <v>Hot</v>
      </c>
      <c r="L280">
        <v>5</v>
      </c>
      <c r="M280" s="2">
        <v>21.89</v>
      </c>
    </row>
    <row r="281" spans="2:13" x14ac:dyDescent="0.2">
      <c r="B281" s="5">
        <v>38459.460679112373</v>
      </c>
      <c r="C281" s="5" t="str">
        <f t="shared" si="4"/>
        <v>Sunday</v>
      </c>
      <c r="D281" s="5" t="str">
        <f>TEXT(B281,"MMMM")</f>
        <v>April</v>
      </c>
      <c r="E281" s="5" t="str">
        <f>IFERROR(VLOOKUP(D281,monthseason,2,FALSE),"unknown")</f>
        <v>Spring</v>
      </c>
      <c r="F281" t="s">
        <v>0</v>
      </c>
      <c r="G281" t="str">
        <f>IFERROR(VLOOKUP(F281,citycountry,2,FALSE),"unknown")</f>
        <v>Portugal</v>
      </c>
      <c r="H281" t="s">
        <v>20</v>
      </c>
      <c r="I281" t="s">
        <v>35</v>
      </c>
      <c r="J281" t="s">
        <v>43</v>
      </c>
      <c r="K281" t="str">
        <f>IFERROR(VLOOKUP(J281,producttype,2,FALSE),"unknown")</f>
        <v>Hot</v>
      </c>
      <c r="L281">
        <v>355</v>
      </c>
      <c r="M281" s="2">
        <v>1778.81</v>
      </c>
    </row>
    <row r="282" spans="2:13" x14ac:dyDescent="0.2">
      <c r="B282" s="5">
        <v>38504.635257218477</v>
      </c>
      <c r="C282" s="5" t="str">
        <f t="shared" si="4"/>
        <v>Wednesday</v>
      </c>
      <c r="D282" s="5" t="str">
        <f>TEXT(B282,"MMMM")</f>
        <v>June</v>
      </c>
      <c r="E282" s="5" t="str">
        <f>IFERROR(VLOOKUP(D282,monthseason,2,FALSE),"unknown")</f>
        <v>Summer</v>
      </c>
      <c r="F282" t="s">
        <v>0</v>
      </c>
      <c r="G282" t="str">
        <f>IFERROR(VLOOKUP(F282,citycountry,2,FALSE),"unknown")</f>
        <v>Portugal</v>
      </c>
      <c r="H282" t="s">
        <v>6</v>
      </c>
      <c r="I282" t="s">
        <v>35</v>
      </c>
      <c r="J282" t="s">
        <v>43</v>
      </c>
      <c r="K282" t="str">
        <f>IFERROR(VLOOKUP(J282,producttype,2,FALSE),"unknown")</f>
        <v>Hot</v>
      </c>
      <c r="L282">
        <v>410</v>
      </c>
      <c r="M282" s="2">
        <v>1957.35</v>
      </c>
    </row>
    <row r="283" spans="2:13" x14ac:dyDescent="0.2">
      <c r="B283" s="5">
        <v>38529.303757611749</v>
      </c>
      <c r="C283" s="5" t="str">
        <f t="shared" si="4"/>
        <v>Sunday</v>
      </c>
      <c r="D283" s="5" t="str">
        <f>TEXT(B283,"MMMM")</f>
        <v>June</v>
      </c>
      <c r="E283" s="5" t="str">
        <f>IFERROR(VLOOKUP(D283,monthseason,2,FALSE),"unknown")</f>
        <v>Summer</v>
      </c>
      <c r="F283" t="s">
        <v>0</v>
      </c>
      <c r="G283" t="str">
        <f>IFERROR(VLOOKUP(F283,citycountry,2,FALSE),"unknown")</f>
        <v>Portugal</v>
      </c>
      <c r="H283" t="s">
        <v>12</v>
      </c>
      <c r="I283" t="s">
        <v>35</v>
      </c>
      <c r="J283" t="s">
        <v>43</v>
      </c>
      <c r="K283" t="str">
        <f>IFERROR(VLOOKUP(J283,producttype,2,FALSE),"unknown")</f>
        <v>Hot</v>
      </c>
      <c r="L283">
        <v>325</v>
      </c>
      <c r="M283" s="2">
        <v>1704.66</v>
      </c>
    </row>
    <row r="284" spans="2:13" x14ac:dyDescent="0.2">
      <c r="B284" s="5">
        <v>38465.887519978787</v>
      </c>
      <c r="C284" s="5" t="str">
        <f t="shared" si="4"/>
        <v>Saturday</v>
      </c>
      <c r="D284" s="5" t="str">
        <f>TEXT(B284,"MMMM")</f>
        <v>April</v>
      </c>
      <c r="E284" s="5" t="str">
        <f>IFERROR(VLOOKUP(D284,monthseason,2,FALSE),"unknown")</f>
        <v>Spring</v>
      </c>
      <c r="F284" t="s">
        <v>0</v>
      </c>
      <c r="G284" t="str">
        <f>IFERROR(VLOOKUP(F284,citycountry,2,FALSE),"unknown")</f>
        <v>Portugal</v>
      </c>
      <c r="H284" t="s">
        <v>6</v>
      </c>
      <c r="I284" t="s">
        <v>35</v>
      </c>
      <c r="J284" t="s">
        <v>40</v>
      </c>
      <c r="K284" t="str">
        <f>IFERROR(VLOOKUP(J284,producttype,2,FALSE),"unknown")</f>
        <v>Hot</v>
      </c>
      <c r="L284">
        <v>315</v>
      </c>
      <c r="M284" s="2">
        <v>572.64</v>
      </c>
    </row>
    <row r="285" spans="2:13" x14ac:dyDescent="0.2">
      <c r="B285" s="5">
        <v>38488.360332141267</v>
      </c>
      <c r="C285" s="5" t="str">
        <f t="shared" si="4"/>
        <v>Monday</v>
      </c>
      <c r="D285" s="5" t="str">
        <f>TEXT(B285,"MMMM")</f>
        <v>May</v>
      </c>
      <c r="E285" s="5" t="str">
        <f>IFERROR(VLOOKUP(D285,monthseason,2,FALSE),"unknown")</f>
        <v>Spring</v>
      </c>
      <c r="F285" t="s">
        <v>0</v>
      </c>
      <c r="G285" t="str">
        <f>IFERROR(VLOOKUP(F285,citycountry,2,FALSE),"unknown")</f>
        <v>Portugal</v>
      </c>
      <c r="H285" t="s">
        <v>8</v>
      </c>
      <c r="I285" t="s">
        <v>35</v>
      </c>
      <c r="J285" t="s">
        <v>40</v>
      </c>
      <c r="K285" t="str">
        <f>IFERROR(VLOOKUP(J285,producttype,2,FALSE),"unknown")</f>
        <v>Hot</v>
      </c>
      <c r="L285">
        <v>715</v>
      </c>
      <c r="M285" s="2">
        <v>1331.21</v>
      </c>
    </row>
    <row r="286" spans="2:13" x14ac:dyDescent="0.2">
      <c r="B286" s="5">
        <v>38541.2152804098</v>
      </c>
      <c r="C286" s="5" t="str">
        <f t="shared" si="4"/>
        <v>Friday</v>
      </c>
      <c r="D286" s="5" t="str">
        <f>TEXT(B286,"MMMM")</f>
        <v>July</v>
      </c>
      <c r="E286" s="5" t="str">
        <f>IFERROR(VLOOKUP(D286,monthseason,2,FALSE),"unknown")</f>
        <v>Summer</v>
      </c>
      <c r="F286" t="s">
        <v>0</v>
      </c>
      <c r="G286" t="str">
        <f>IFERROR(VLOOKUP(F286,citycountry,2,FALSE),"unknown")</f>
        <v>Portugal</v>
      </c>
      <c r="H286" t="s">
        <v>7</v>
      </c>
      <c r="I286" t="s">
        <v>35</v>
      </c>
      <c r="J286" t="s">
        <v>40</v>
      </c>
      <c r="K286" t="str">
        <f>IFERROR(VLOOKUP(J286,producttype,2,FALSE),"unknown")</f>
        <v>Hot</v>
      </c>
      <c r="L286">
        <v>205</v>
      </c>
      <c r="M286" s="2">
        <v>392.46</v>
      </c>
    </row>
    <row r="287" spans="2:13" x14ac:dyDescent="0.2">
      <c r="B287" s="5">
        <v>38566.439597705736</v>
      </c>
      <c r="C287" s="5" t="str">
        <f t="shared" si="4"/>
        <v>Tuesday</v>
      </c>
      <c r="D287" s="5" t="str">
        <f>TEXT(B287,"MMMM")</f>
        <v>August</v>
      </c>
      <c r="E287" s="5" t="str">
        <f>IFERROR(VLOOKUP(D287,monthseason,2,FALSE),"unknown")</f>
        <v>Summer</v>
      </c>
      <c r="F287" t="s">
        <v>0</v>
      </c>
      <c r="G287" t="str">
        <f>IFERROR(VLOOKUP(F287,citycountry,2,FALSE),"unknown")</f>
        <v>Portugal</v>
      </c>
      <c r="H287" t="s">
        <v>20</v>
      </c>
      <c r="I287" t="s">
        <v>35</v>
      </c>
      <c r="J287" t="s">
        <v>40</v>
      </c>
      <c r="K287" t="str">
        <f>IFERROR(VLOOKUP(J287,producttype,2,FALSE),"unknown")</f>
        <v>Hot</v>
      </c>
      <c r="L287">
        <v>940</v>
      </c>
      <c r="M287" s="2">
        <v>1826.34</v>
      </c>
    </row>
    <row r="288" spans="2:13" x14ac:dyDescent="0.2">
      <c r="B288" s="5">
        <v>38469.319980600965</v>
      </c>
      <c r="C288" s="5" t="str">
        <f t="shared" si="4"/>
        <v>Wednesday</v>
      </c>
      <c r="D288" s="5" t="str">
        <f>TEXT(B288,"MMMM")</f>
        <v>April</v>
      </c>
      <c r="E288" s="5" t="str">
        <f>IFERROR(VLOOKUP(D288,monthseason,2,FALSE),"unknown")</f>
        <v>Spring</v>
      </c>
      <c r="F288" t="s">
        <v>0</v>
      </c>
      <c r="G288" t="str">
        <f>IFERROR(VLOOKUP(F288,citycountry,2,FALSE),"unknown")</f>
        <v>Portugal</v>
      </c>
      <c r="H288" t="s">
        <v>17</v>
      </c>
      <c r="I288" t="s">
        <v>35</v>
      </c>
      <c r="J288" t="s">
        <v>28</v>
      </c>
      <c r="K288" t="str">
        <f>IFERROR(VLOOKUP(J288,producttype,2,FALSE),"unknown")</f>
        <v>Hot</v>
      </c>
      <c r="L288">
        <v>90</v>
      </c>
      <c r="M288" s="2">
        <v>368.07</v>
      </c>
    </row>
    <row r="289" spans="2:13" x14ac:dyDescent="0.2">
      <c r="B289" s="5">
        <v>38473.883420847807</v>
      </c>
      <c r="C289" s="5" t="str">
        <f t="shared" si="4"/>
        <v>Sunday</v>
      </c>
      <c r="D289" s="5" t="str">
        <f>TEXT(B289,"MMMM")</f>
        <v>May</v>
      </c>
      <c r="E289" s="5" t="str">
        <f>IFERROR(VLOOKUP(D289,monthseason,2,FALSE),"unknown")</f>
        <v>Spring</v>
      </c>
      <c r="F289" t="s">
        <v>0</v>
      </c>
      <c r="G289" t="str">
        <f>IFERROR(VLOOKUP(F289,citycountry,2,FALSE),"unknown")</f>
        <v>Portugal</v>
      </c>
      <c r="H289" t="s">
        <v>7</v>
      </c>
      <c r="I289" t="s">
        <v>35</v>
      </c>
      <c r="J289" t="s">
        <v>28</v>
      </c>
      <c r="K289" t="str">
        <f>IFERROR(VLOOKUP(J289,producttype,2,FALSE),"unknown")</f>
        <v>Hot</v>
      </c>
      <c r="L289">
        <v>995</v>
      </c>
      <c r="M289" s="2">
        <v>3829.18</v>
      </c>
    </row>
    <row r="290" spans="2:13" x14ac:dyDescent="0.2">
      <c r="B290" s="5">
        <v>38441.291351740379</v>
      </c>
      <c r="C290" s="5" t="str">
        <f t="shared" si="4"/>
        <v>Wednesday</v>
      </c>
      <c r="D290" s="5" t="str">
        <f>TEXT(B290,"MMMM")</f>
        <v>March</v>
      </c>
      <c r="E290" s="5" t="str">
        <f>IFERROR(VLOOKUP(D290,monthseason,2,FALSE),"unknown")</f>
        <v>Spring</v>
      </c>
      <c r="F290" t="s">
        <v>0</v>
      </c>
      <c r="G290" t="str">
        <f>IFERROR(VLOOKUP(F290,citycountry,2,FALSE),"unknown")</f>
        <v>Portugal</v>
      </c>
      <c r="H290" t="s">
        <v>24</v>
      </c>
      <c r="I290" t="s">
        <v>35</v>
      </c>
      <c r="J290" t="s">
        <v>41</v>
      </c>
      <c r="K290" t="str">
        <f>IFERROR(VLOOKUP(J290,producttype,2,FALSE),"unknown")</f>
        <v>Hot</v>
      </c>
      <c r="L290">
        <v>345</v>
      </c>
      <c r="M290" s="2">
        <v>1018.55</v>
      </c>
    </row>
    <row r="291" spans="2:13" x14ac:dyDescent="0.2">
      <c r="B291" s="5">
        <v>38459.684477900068</v>
      </c>
      <c r="C291" s="5" t="str">
        <f t="shared" si="4"/>
        <v>Sunday</v>
      </c>
      <c r="D291" s="5" t="str">
        <f>TEXT(B291,"MMMM")</f>
        <v>April</v>
      </c>
      <c r="E291" s="5" t="str">
        <f>IFERROR(VLOOKUP(D291,monthseason,2,FALSE),"unknown")</f>
        <v>Spring</v>
      </c>
      <c r="F291" t="s">
        <v>0</v>
      </c>
      <c r="G291" t="str">
        <f>IFERROR(VLOOKUP(F291,citycountry,2,FALSE),"unknown")</f>
        <v>Portugal</v>
      </c>
      <c r="H291" t="s">
        <v>8</v>
      </c>
      <c r="I291" t="s">
        <v>35</v>
      </c>
      <c r="J291" t="s">
        <v>41</v>
      </c>
      <c r="K291" t="str">
        <f>IFERROR(VLOOKUP(J291,producttype,2,FALSE),"unknown")</f>
        <v>Hot</v>
      </c>
      <c r="L291">
        <v>400</v>
      </c>
      <c r="M291" s="2">
        <v>1240.73</v>
      </c>
    </row>
    <row r="292" spans="2:13" x14ac:dyDescent="0.2">
      <c r="B292" s="5">
        <v>38480.761509026626</v>
      </c>
      <c r="C292" s="5" t="str">
        <f t="shared" si="4"/>
        <v>Sunday</v>
      </c>
      <c r="D292" s="5" t="str">
        <f>TEXT(B292,"MMMM")</f>
        <v>May</v>
      </c>
      <c r="E292" s="5" t="str">
        <f>IFERROR(VLOOKUP(D292,monthseason,2,FALSE),"unknown")</f>
        <v>Spring</v>
      </c>
      <c r="F292" t="s">
        <v>0</v>
      </c>
      <c r="G292" t="str">
        <f>IFERROR(VLOOKUP(F292,citycountry,2,FALSE),"unknown")</f>
        <v>Portugal</v>
      </c>
      <c r="H292" t="s">
        <v>19</v>
      </c>
      <c r="I292" t="s">
        <v>35</v>
      </c>
      <c r="J292" t="s">
        <v>41</v>
      </c>
      <c r="K292" t="str">
        <f>IFERROR(VLOOKUP(J292,producttype,2,FALSE),"unknown")</f>
        <v>Hot</v>
      </c>
      <c r="L292">
        <v>150</v>
      </c>
      <c r="M292" s="2">
        <v>451.46</v>
      </c>
    </row>
    <row r="293" spans="2:13" x14ac:dyDescent="0.2">
      <c r="B293" s="5">
        <v>38487.402026380434</v>
      </c>
      <c r="C293" s="5" t="str">
        <f t="shared" si="4"/>
        <v>Sunday</v>
      </c>
      <c r="D293" s="5" t="str">
        <f>TEXT(B293,"MMMM")</f>
        <v>May</v>
      </c>
      <c r="E293" s="5" t="str">
        <f>IFERROR(VLOOKUP(D293,monthseason,2,FALSE),"unknown")</f>
        <v>Spring</v>
      </c>
      <c r="F293" t="s">
        <v>0</v>
      </c>
      <c r="G293" t="str">
        <f>IFERROR(VLOOKUP(F293,citycountry,2,FALSE),"unknown")</f>
        <v>Portugal</v>
      </c>
      <c r="H293" t="s">
        <v>14</v>
      </c>
      <c r="I293" t="s">
        <v>35</v>
      </c>
      <c r="J293" t="s">
        <v>27</v>
      </c>
      <c r="K293" t="str">
        <f>IFERROR(VLOOKUP(J293,producttype,2,FALSE),"unknown")</f>
        <v>Cold</v>
      </c>
      <c r="L293">
        <v>965</v>
      </c>
      <c r="M293" s="2">
        <v>3071.28</v>
      </c>
    </row>
    <row r="294" spans="2:13" x14ac:dyDescent="0.2">
      <c r="B294" s="5">
        <v>38525.039266755477</v>
      </c>
      <c r="C294" s="5" t="str">
        <f t="shared" si="4"/>
        <v>Wednesday</v>
      </c>
      <c r="D294" s="5" t="str">
        <f>TEXT(B294,"MMMM")</f>
        <v>June</v>
      </c>
      <c r="E294" s="5" t="str">
        <f>IFERROR(VLOOKUP(D294,monthseason,2,FALSE),"unknown")</f>
        <v>Summer</v>
      </c>
      <c r="F294" t="s">
        <v>0</v>
      </c>
      <c r="G294" t="str">
        <f>IFERROR(VLOOKUP(F294,citycountry,2,FALSE),"unknown")</f>
        <v>Portugal</v>
      </c>
      <c r="H294" t="s">
        <v>14</v>
      </c>
      <c r="I294" t="s">
        <v>35</v>
      </c>
      <c r="J294" t="s">
        <v>27</v>
      </c>
      <c r="K294" t="str">
        <f>IFERROR(VLOOKUP(J294,producttype,2,FALSE),"unknown")</f>
        <v>Cold</v>
      </c>
      <c r="L294">
        <v>320</v>
      </c>
      <c r="M294" s="2">
        <v>1024.32</v>
      </c>
    </row>
    <row r="295" spans="2:13" x14ac:dyDescent="0.2">
      <c r="B295" s="5">
        <v>38482.401739053319</v>
      </c>
      <c r="C295" s="5" t="str">
        <f t="shared" si="4"/>
        <v>Tuesday</v>
      </c>
      <c r="D295" s="5" t="str">
        <f>TEXT(B295,"MMMM")</f>
        <v>May</v>
      </c>
      <c r="E295" s="5" t="str">
        <f>IFERROR(VLOOKUP(D295,monthseason,2,FALSE),"unknown")</f>
        <v>Spring</v>
      </c>
      <c r="F295" t="s">
        <v>0</v>
      </c>
      <c r="G295" t="str">
        <f>IFERROR(VLOOKUP(F295,citycountry,2,FALSE),"unknown")</f>
        <v>Portugal</v>
      </c>
      <c r="H295" t="s">
        <v>6</v>
      </c>
      <c r="I295" t="s">
        <v>35</v>
      </c>
      <c r="J295" t="s">
        <v>38</v>
      </c>
      <c r="K295" t="str">
        <f>IFERROR(VLOOKUP(J295,producttype,2,FALSE),"unknown")</f>
        <v>Hot</v>
      </c>
      <c r="L295">
        <v>690</v>
      </c>
      <c r="M295" s="2">
        <v>4793.51</v>
      </c>
    </row>
    <row r="296" spans="2:13" x14ac:dyDescent="0.2">
      <c r="B296" s="5">
        <v>38510.898036174745</v>
      </c>
      <c r="C296" s="5" t="str">
        <f t="shared" si="4"/>
        <v>Tuesday</v>
      </c>
      <c r="D296" s="5" t="str">
        <f>TEXT(B296,"MMMM")</f>
        <v>June</v>
      </c>
      <c r="E296" s="5" t="str">
        <f>IFERROR(VLOOKUP(D296,monthseason,2,FALSE),"unknown")</f>
        <v>Summer</v>
      </c>
      <c r="F296" t="s">
        <v>0</v>
      </c>
      <c r="G296" t="str">
        <f>IFERROR(VLOOKUP(F296,citycountry,2,FALSE),"unknown")</f>
        <v>Portugal</v>
      </c>
      <c r="H296" t="s">
        <v>21</v>
      </c>
      <c r="I296" t="s">
        <v>26</v>
      </c>
      <c r="J296" t="s">
        <v>39</v>
      </c>
      <c r="K296" t="str">
        <f>IFERROR(VLOOKUP(J296,producttype,2,FALSE),"unknown")</f>
        <v>Cold</v>
      </c>
      <c r="L296">
        <v>770</v>
      </c>
      <c r="M296" s="2">
        <v>775.45</v>
      </c>
    </row>
    <row r="297" spans="2:13" x14ac:dyDescent="0.2">
      <c r="B297" s="5">
        <v>38517.692081036446</v>
      </c>
      <c r="C297" s="5" t="str">
        <f t="shared" si="4"/>
        <v>Tuesday</v>
      </c>
      <c r="D297" s="5" t="str">
        <f>TEXT(B297,"MMMM")</f>
        <v>June</v>
      </c>
      <c r="E297" s="5" t="str">
        <f>IFERROR(VLOOKUP(D297,monthseason,2,FALSE),"unknown")</f>
        <v>Summer</v>
      </c>
      <c r="F297" t="s">
        <v>0</v>
      </c>
      <c r="G297" t="str">
        <f>IFERROR(VLOOKUP(F297,citycountry,2,FALSE),"unknown")</f>
        <v>Portugal</v>
      </c>
      <c r="H297" t="s">
        <v>23</v>
      </c>
      <c r="I297" t="s">
        <v>26</v>
      </c>
      <c r="J297" t="s">
        <v>39</v>
      </c>
      <c r="K297" t="str">
        <f>IFERROR(VLOOKUP(J297,producttype,2,FALSE),"unknown")</f>
        <v>Cold</v>
      </c>
      <c r="L297">
        <v>580</v>
      </c>
      <c r="M297" s="2">
        <v>233.85</v>
      </c>
    </row>
    <row r="298" spans="2:13" x14ac:dyDescent="0.2">
      <c r="B298" s="5">
        <v>38432.393676598287</v>
      </c>
      <c r="C298" s="5" t="str">
        <f t="shared" si="4"/>
        <v>Monday</v>
      </c>
      <c r="D298" s="5" t="str">
        <f>TEXT(B298,"MMMM")</f>
        <v>March</v>
      </c>
      <c r="E298" s="5" t="str">
        <f>IFERROR(VLOOKUP(D298,monthseason,2,FALSE),"unknown")</f>
        <v>Spring</v>
      </c>
      <c r="F298" t="s">
        <v>0</v>
      </c>
      <c r="G298" t="str">
        <f>IFERROR(VLOOKUP(F298,citycountry,2,FALSE),"unknown")</f>
        <v>Portugal</v>
      </c>
      <c r="H298" t="s">
        <v>24</v>
      </c>
      <c r="I298" t="s">
        <v>26</v>
      </c>
      <c r="J298" t="s">
        <v>43</v>
      </c>
      <c r="K298" t="str">
        <f>IFERROR(VLOOKUP(J298,producttype,2,FALSE),"unknown")</f>
        <v>Hot</v>
      </c>
      <c r="L298">
        <v>780</v>
      </c>
      <c r="M298" s="2">
        <v>1639.93</v>
      </c>
    </row>
    <row r="299" spans="2:13" x14ac:dyDescent="0.2">
      <c r="B299" s="5">
        <v>38455.390652645903</v>
      </c>
      <c r="C299" s="5" t="str">
        <f t="shared" si="4"/>
        <v>Wednesday</v>
      </c>
      <c r="D299" s="5" t="str">
        <f>TEXT(B299,"MMMM")</f>
        <v>April</v>
      </c>
      <c r="E299" s="5" t="str">
        <f>IFERROR(VLOOKUP(D299,monthseason,2,FALSE),"unknown")</f>
        <v>Spring</v>
      </c>
      <c r="F299" t="s">
        <v>0</v>
      </c>
      <c r="G299" t="str">
        <f>IFERROR(VLOOKUP(F299,citycountry,2,FALSE),"unknown")</f>
        <v>Portugal</v>
      </c>
      <c r="H299" t="s">
        <v>10</v>
      </c>
      <c r="I299" t="s">
        <v>26</v>
      </c>
      <c r="J299" t="s">
        <v>43</v>
      </c>
      <c r="K299" t="str">
        <f>IFERROR(VLOOKUP(J299,producttype,2,FALSE),"unknown")</f>
        <v>Hot</v>
      </c>
      <c r="L299">
        <v>720</v>
      </c>
      <c r="M299" s="2">
        <v>1507.07</v>
      </c>
    </row>
    <row r="300" spans="2:13" x14ac:dyDescent="0.2">
      <c r="B300" s="5">
        <v>38430.485850910809</v>
      </c>
      <c r="C300" s="5" t="str">
        <f t="shared" si="4"/>
        <v>Saturday</v>
      </c>
      <c r="D300" s="5" t="str">
        <f>TEXT(B300,"MMMM")</f>
        <v>March</v>
      </c>
      <c r="E300" s="5" t="str">
        <f>IFERROR(VLOOKUP(D300,monthseason,2,FALSE),"unknown")</f>
        <v>Spring</v>
      </c>
      <c r="F300" t="s">
        <v>0</v>
      </c>
      <c r="G300" t="str">
        <f>IFERROR(VLOOKUP(F300,citycountry,2,FALSE),"unknown")</f>
        <v>Portugal</v>
      </c>
      <c r="H300" t="s">
        <v>12</v>
      </c>
      <c r="I300" t="s">
        <v>26</v>
      </c>
      <c r="J300" t="s">
        <v>40</v>
      </c>
      <c r="K300" t="str">
        <f>IFERROR(VLOOKUP(J300,producttype,2,FALSE),"unknown")</f>
        <v>Hot</v>
      </c>
      <c r="L300">
        <v>20</v>
      </c>
      <c r="M300" s="2">
        <v>16.34</v>
      </c>
    </row>
    <row r="301" spans="2:13" x14ac:dyDescent="0.2">
      <c r="B301" s="5">
        <v>38585.974636827697</v>
      </c>
      <c r="C301" s="5" t="str">
        <f t="shared" si="4"/>
        <v>Sunday</v>
      </c>
      <c r="D301" s="5" t="str">
        <f>TEXT(B301,"MMMM")</f>
        <v>August</v>
      </c>
      <c r="E301" s="5" t="str">
        <f>IFERROR(VLOOKUP(D301,monthseason,2,FALSE),"unknown")</f>
        <v>Summer</v>
      </c>
      <c r="F301" t="s">
        <v>0</v>
      </c>
      <c r="G301" t="str">
        <f>IFERROR(VLOOKUP(F301,citycountry,2,FALSE),"unknown")</f>
        <v>Portugal</v>
      </c>
      <c r="H301" t="s">
        <v>11</v>
      </c>
      <c r="I301" t="s">
        <v>26</v>
      </c>
      <c r="J301" t="s">
        <v>40</v>
      </c>
      <c r="K301" t="str">
        <f>IFERROR(VLOOKUP(J301,producttype,2,FALSE),"unknown")</f>
        <v>Hot</v>
      </c>
      <c r="L301">
        <v>750</v>
      </c>
      <c r="M301" s="2">
        <v>664.38</v>
      </c>
    </row>
    <row r="302" spans="2:13" x14ac:dyDescent="0.2">
      <c r="B302" s="5">
        <v>38513.811156236676</v>
      </c>
      <c r="C302" s="5" t="str">
        <f t="shared" si="4"/>
        <v>Friday</v>
      </c>
      <c r="D302" s="5" t="str">
        <f>TEXT(B302,"MMMM")</f>
        <v>June</v>
      </c>
      <c r="E302" s="5" t="str">
        <f>IFERROR(VLOOKUP(D302,monthseason,2,FALSE),"unknown")</f>
        <v>Summer</v>
      </c>
      <c r="F302" t="s">
        <v>0</v>
      </c>
      <c r="G302" t="str">
        <f>IFERROR(VLOOKUP(F302,citycountry,2,FALSE),"unknown")</f>
        <v>Portugal</v>
      </c>
      <c r="H302" t="s">
        <v>17</v>
      </c>
      <c r="I302" t="s">
        <v>26</v>
      </c>
      <c r="J302" t="s">
        <v>41</v>
      </c>
      <c r="K302" t="str">
        <f>IFERROR(VLOOKUP(J302,producttype,2,FALSE),"unknown")</f>
        <v>Hot</v>
      </c>
      <c r="L302">
        <v>205</v>
      </c>
      <c r="M302" s="2">
        <v>242.69</v>
      </c>
    </row>
    <row r="303" spans="2:13" x14ac:dyDescent="0.2">
      <c r="B303" s="5">
        <v>38466.56749600359</v>
      </c>
      <c r="C303" s="5" t="str">
        <f t="shared" si="4"/>
        <v>Sunday</v>
      </c>
      <c r="D303" s="5" t="str">
        <f>TEXT(B303,"MMMM")</f>
        <v>April</v>
      </c>
      <c r="E303" s="5" t="str">
        <f>IFERROR(VLOOKUP(D303,monthseason,2,FALSE),"unknown")</f>
        <v>Spring</v>
      </c>
      <c r="F303" t="s">
        <v>0</v>
      </c>
      <c r="G303" t="str">
        <f>IFERROR(VLOOKUP(F303,citycountry,2,FALSE),"unknown")</f>
        <v>Portugal</v>
      </c>
      <c r="H303" t="s">
        <v>24</v>
      </c>
      <c r="I303" t="s">
        <v>26</v>
      </c>
      <c r="J303" t="s">
        <v>27</v>
      </c>
      <c r="K303" t="str">
        <f>IFERROR(VLOOKUP(J303,producttype,2,FALSE),"unknown")</f>
        <v>Cold</v>
      </c>
      <c r="L303">
        <v>360</v>
      </c>
      <c r="M303" s="2">
        <v>474.89</v>
      </c>
    </row>
    <row r="304" spans="2:13" x14ac:dyDescent="0.2">
      <c r="B304" s="5">
        <v>38467.801192101382</v>
      </c>
      <c r="C304" s="5" t="str">
        <f t="shared" si="4"/>
        <v>Monday</v>
      </c>
      <c r="D304" s="5" t="str">
        <f>TEXT(B304,"MMMM")</f>
        <v>April</v>
      </c>
      <c r="E304" s="5" t="str">
        <f>IFERROR(VLOOKUP(D304,monthseason,2,FALSE),"unknown")</f>
        <v>Spring</v>
      </c>
      <c r="F304" t="s">
        <v>0</v>
      </c>
      <c r="G304" t="str">
        <f>IFERROR(VLOOKUP(F304,citycountry,2,FALSE),"unknown")</f>
        <v>Portugal</v>
      </c>
      <c r="H304" t="s">
        <v>21</v>
      </c>
      <c r="I304" t="s">
        <v>26</v>
      </c>
      <c r="J304" t="s">
        <v>27</v>
      </c>
      <c r="K304" t="str">
        <f>IFERROR(VLOOKUP(J304,producttype,2,FALSE),"unknown")</f>
        <v>Cold</v>
      </c>
      <c r="L304">
        <v>740</v>
      </c>
      <c r="M304" s="2">
        <v>2141.89</v>
      </c>
    </row>
    <row r="305" spans="2:13" x14ac:dyDescent="0.2">
      <c r="B305" s="5">
        <v>38489.035713090394</v>
      </c>
      <c r="C305" s="5" t="str">
        <f t="shared" si="4"/>
        <v>Tuesday</v>
      </c>
      <c r="D305" s="5" t="str">
        <f>TEXT(B305,"MMMM")</f>
        <v>May</v>
      </c>
      <c r="E305" s="5" t="str">
        <f>IFERROR(VLOOKUP(D305,monthseason,2,FALSE),"unknown")</f>
        <v>Spring</v>
      </c>
      <c r="F305" t="s">
        <v>0</v>
      </c>
      <c r="G305" t="str">
        <f>IFERROR(VLOOKUP(F305,citycountry,2,FALSE),"unknown")</f>
        <v>Portugal</v>
      </c>
      <c r="H305" t="s">
        <v>23</v>
      </c>
      <c r="I305" t="s">
        <v>26</v>
      </c>
      <c r="J305" t="s">
        <v>27</v>
      </c>
      <c r="K305" t="str">
        <f>IFERROR(VLOOKUP(J305,producttype,2,FALSE),"unknown")</f>
        <v>Cold</v>
      </c>
      <c r="L305">
        <v>470</v>
      </c>
      <c r="M305" s="2">
        <v>1562.53</v>
      </c>
    </row>
    <row r="306" spans="2:13" x14ac:dyDescent="0.2">
      <c r="B306" s="5">
        <v>38494.674012750016</v>
      </c>
      <c r="C306" s="5" t="str">
        <f t="shared" si="4"/>
        <v>Sunday</v>
      </c>
      <c r="D306" s="5" t="str">
        <f>TEXT(B306,"MMMM")</f>
        <v>May</v>
      </c>
      <c r="E306" s="5" t="str">
        <f>IFERROR(VLOOKUP(D306,monthseason,2,FALSE),"unknown")</f>
        <v>Spring</v>
      </c>
      <c r="F306" t="s">
        <v>0</v>
      </c>
      <c r="G306" t="str">
        <f>IFERROR(VLOOKUP(F306,citycountry,2,FALSE),"unknown")</f>
        <v>Portugal</v>
      </c>
      <c r="H306" t="s">
        <v>7</v>
      </c>
      <c r="I306" t="s">
        <v>26</v>
      </c>
      <c r="J306" t="s">
        <v>38</v>
      </c>
      <c r="K306" t="str">
        <f>IFERROR(VLOOKUP(J306,producttype,2,FALSE),"unknown")</f>
        <v>Hot</v>
      </c>
      <c r="L306">
        <v>295</v>
      </c>
      <c r="M306" s="2">
        <v>872.24</v>
      </c>
    </row>
    <row r="307" spans="2:13" x14ac:dyDescent="0.2">
      <c r="B307" s="5">
        <v>38424.316415309695</v>
      </c>
      <c r="C307" s="5" t="str">
        <f t="shared" si="4"/>
        <v>Sunday</v>
      </c>
      <c r="D307" s="5" t="str">
        <f>TEXT(B307,"MMMM")</f>
        <v>March</v>
      </c>
      <c r="E307" s="5" t="str">
        <f>IFERROR(VLOOKUP(D307,monthseason,2,FALSE),"unknown")</f>
        <v>Spring</v>
      </c>
      <c r="F307" t="s">
        <v>0</v>
      </c>
      <c r="G307" t="str">
        <f>IFERROR(VLOOKUP(F307,citycountry,2,FALSE),"unknown")</f>
        <v>Portugal</v>
      </c>
      <c r="H307" t="s">
        <v>18</v>
      </c>
      <c r="I307" t="s">
        <v>25</v>
      </c>
      <c r="J307" t="s">
        <v>39</v>
      </c>
      <c r="K307" t="str">
        <f>IFERROR(VLOOKUP(J307,producttype,2,FALSE),"unknown")</f>
        <v>Cold</v>
      </c>
      <c r="L307">
        <v>445</v>
      </c>
      <c r="M307" s="2">
        <v>460.8</v>
      </c>
    </row>
    <row r="308" spans="2:13" x14ac:dyDescent="0.2">
      <c r="B308" s="5">
        <v>38468.410224597807</v>
      </c>
      <c r="C308" s="5" t="str">
        <f t="shared" si="4"/>
        <v>Tuesday</v>
      </c>
      <c r="D308" s="5" t="str">
        <f>TEXT(B308,"MMMM")</f>
        <v>April</v>
      </c>
      <c r="E308" s="5" t="str">
        <f>IFERROR(VLOOKUP(D308,monthseason,2,FALSE),"unknown")</f>
        <v>Spring</v>
      </c>
      <c r="F308" t="s">
        <v>0</v>
      </c>
      <c r="G308" t="str">
        <f>IFERROR(VLOOKUP(F308,citycountry,2,FALSE),"unknown")</f>
        <v>Portugal</v>
      </c>
      <c r="H308" t="s">
        <v>18</v>
      </c>
      <c r="I308" t="s">
        <v>25</v>
      </c>
      <c r="J308" t="s">
        <v>39</v>
      </c>
      <c r="K308" t="str">
        <f>IFERROR(VLOOKUP(J308,producttype,2,FALSE),"unknown")</f>
        <v>Cold</v>
      </c>
      <c r="L308">
        <v>950</v>
      </c>
      <c r="M308" s="2">
        <v>1064.7</v>
      </c>
    </row>
    <row r="309" spans="2:13" x14ac:dyDescent="0.2">
      <c r="B309" s="5">
        <v>38496.938018237124</v>
      </c>
      <c r="C309" s="5" t="str">
        <f t="shared" si="4"/>
        <v>Tuesday</v>
      </c>
      <c r="D309" s="5" t="str">
        <f>TEXT(B309,"MMMM")</f>
        <v>May</v>
      </c>
      <c r="E309" s="5" t="str">
        <f>IFERROR(VLOOKUP(D309,monthseason,2,FALSE),"unknown")</f>
        <v>Spring</v>
      </c>
      <c r="F309" t="s">
        <v>0</v>
      </c>
      <c r="G309" t="str">
        <f>IFERROR(VLOOKUP(F309,citycountry,2,FALSE),"unknown")</f>
        <v>Portugal</v>
      </c>
      <c r="H309" t="s">
        <v>20</v>
      </c>
      <c r="I309" t="s">
        <v>25</v>
      </c>
      <c r="J309" t="s">
        <v>39</v>
      </c>
      <c r="K309" t="str">
        <f>IFERROR(VLOOKUP(J309,producttype,2,FALSE),"unknown")</f>
        <v>Cold</v>
      </c>
      <c r="L309">
        <v>990</v>
      </c>
      <c r="M309" s="2">
        <v>1864.72</v>
      </c>
    </row>
    <row r="310" spans="2:13" x14ac:dyDescent="0.2">
      <c r="B310" s="5">
        <v>38512.519237026107</v>
      </c>
      <c r="C310" s="5" t="str">
        <f t="shared" si="4"/>
        <v>Thursday</v>
      </c>
      <c r="D310" s="5" t="str">
        <f>TEXT(B310,"MMMM")</f>
        <v>June</v>
      </c>
      <c r="E310" s="5" t="str">
        <f>IFERROR(VLOOKUP(D310,monthseason,2,FALSE),"unknown")</f>
        <v>Summer</v>
      </c>
      <c r="F310" t="s">
        <v>0</v>
      </c>
      <c r="G310" t="str">
        <f>IFERROR(VLOOKUP(F310,citycountry,2,FALSE),"unknown")</f>
        <v>Portugal</v>
      </c>
      <c r="H310" t="s">
        <v>18</v>
      </c>
      <c r="I310" t="s">
        <v>25</v>
      </c>
      <c r="J310" t="s">
        <v>39</v>
      </c>
      <c r="K310" t="str">
        <f>IFERROR(VLOOKUP(J310,producttype,2,FALSE),"unknown")</f>
        <v>Cold</v>
      </c>
      <c r="L310">
        <v>55</v>
      </c>
      <c r="M310" s="2">
        <v>56.57</v>
      </c>
    </row>
    <row r="311" spans="2:13" x14ac:dyDescent="0.2">
      <c r="B311" s="5">
        <v>38522.652453154944</v>
      </c>
      <c r="C311" s="5" t="str">
        <f t="shared" si="4"/>
        <v>Sunday</v>
      </c>
      <c r="D311" s="5" t="str">
        <f>TEXT(B311,"MMMM")</f>
        <v>June</v>
      </c>
      <c r="E311" s="5" t="str">
        <f>IFERROR(VLOOKUP(D311,monthseason,2,FALSE),"unknown")</f>
        <v>Summer</v>
      </c>
      <c r="F311" t="s">
        <v>0</v>
      </c>
      <c r="G311" t="str">
        <f>IFERROR(VLOOKUP(F311,citycountry,2,FALSE),"unknown")</f>
        <v>Portugal</v>
      </c>
      <c r="H311" t="s">
        <v>18</v>
      </c>
      <c r="I311" t="s">
        <v>25</v>
      </c>
      <c r="J311" t="s">
        <v>39</v>
      </c>
      <c r="K311" t="str">
        <f>IFERROR(VLOOKUP(J311,producttype,2,FALSE),"unknown")</f>
        <v>Cold</v>
      </c>
      <c r="L311">
        <v>665</v>
      </c>
      <c r="M311" s="2">
        <v>644.05999999999995</v>
      </c>
    </row>
    <row r="312" spans="2:13" x14ac:dyDescent="0.2">
      <c r="B312" s="5">
        <v>38527.833453033127</v>
      </c>
      <c r="C312" s="5" t="str">
        <f t="shared" si="4"/>
        <v>Friday</v>
      </c>
      <c r="D312" s="5" t="str">
        <f>TEXT(B312,"MMMM")</f>
        <v>June</v>
      </c>
      <c r="E312" s="5" t="str">
        <f>IFERROR(VLOOKUP(D312,monthseason,2,FALSE),"unknown")</f>
        <v>Summer</v>
      </c>
      <c r="F312" t="s">
        <v>0</v>
      </c>
      <c r="G312" t="str">
        <f>IFERROR(VLOOKUP(F312,citycountry,2,FALSE),"unknown")</f>
        <v>Portugal</v>
      </c>
      <c r="H312" t="s">
        <v>9</v>
      </c>
      <c r="I312" t="s">
        <v>25</v>
      </c>
      <c r="J312" t="s">
        <v>39</v>
      </c>
      <c r="K312" t="str">
        <f>IFERROR(VLOOKUP(J312,producttype,2,FALSE),"unknown")</f>
        <v>Cold</v>
      </c>
      <c r="L312">
        <v>40</v>
      </c>
      <c r="M312" s="2">
        <v>40.28</v>
      </c>
    </row>
    <row r="313" spans="2:13" x14ac:dyDescent="0.2">
      <c r="B313" s="5">
        <v>38534.991076412414</v>
      </c>
      <c r="C313" s="5" t="str">
        <f t="shared" si="4"/>
        <v>Friday</v>
      </c>
      <c r="D313" s="5" t="str">
        <f>TEXT(B313,"MMMM")</f>
        <v>July</v>
      </c>
      <c r="E313" s="5" t="str">
        <f>IFERROR(VLOOKUP(D313,monthseason,2,FALSE),"unknown")</f>
        <v>Summer</v>
      </c>
      <c r="F313" t="s">
        <v>0</v>
      </c>
      <c r="G313" t="str">
        <f>IFERROR(VLOOKUP(F313,citycountry,2,FALSE),"unknown")</f>
        <v>Portugal</v>
      </c>
      <c r="H313" t="s">
        <v>16</v>
      </c>
      <c r="I313" t="s">
        <v>25</v>
      </c>
      <c r="J313" t="s">
        <v>39</v>
      </c>
      <c r="K313" t="str">
        <f>IFERROR(VLOOKUP(J313,producttype,2,FALSE),"unknown")</f>
        <v>Cold</v>
      </c>
      <c r="L313">
        <v>690</v>
      </c>
      <c r="M313" s="2">
        <v>2574.77</v>
      </c>
    </row>
    <row r="314" spans="2:13" x14ac:dyDescent="0.2">
      <c r="B314" s="5">
        <v>38505.597972810996</v>
      </c>
      <c r="C314" s="5" t="str">
        <f t="shared" si="4"/>
        <v>Thursday</v>
      </c>
      <c r="D314" s="5" t="str">
        <f>TEXT(B314,"MMMM")</f>
        <v>June</v>
      </c>
      <c r="E314" s="5" t="str">
        <f>IFERROR(VLOOKUP(D314,monthseason,2,FALSE),"unknown")</f>
        <v>Summer</v>
      </c>
      <c r="F314" t="s">
        <v>0</v>
      </c>
      <c r="G314" t="str">
        <f>IFERROR(VLOOKUP(F314,citycountry,2,FALSE),"unknown")</f>
        <v>Portugal</v>
      </c>
      <c r="H314" t="s">
        <v>18</v>
      </c>
      <c r="I314" t="s">
        <v>25</v>
      </c>
      <c r="J314" t="s">
        <v>43</v>
      </c>
      <c r="K314" t="str">
        <f>IFERROR(VLOOKUP(J314,producttype,2,FALSE),"unknown")</f>
        <v>Hot</v>
      </c>
      <c r="L314">
        <v>955</v>
      </c>
      <c r="M314" s="2">
        <v>5181.1000000000004</v>
      </c>
    </row>
    <row r="315" spans="2:13" x14ac:dyDescent="0.2">
      <c r="B315" s="5">
        <v>38513.817517922398</v>
      </c>
      <c r="C315" s="5" t="str">
        <f t="shared" si="4"/>
        <v>Friday</v>
      </c>
      <c r="D315" s="5" t="str">
        <f>TEXT(B315,"MMMM")</f>
        <v>June</v>
      </c>
      <c r="E315" s="5" t="str">
        <f>IFERROR(VLOOKUP(D315,monthseason,2,FALSE),"unknown")</f>
        <v>Summer</v>
      </c>
      <c r="F315" t="s">
        <v>0</v>
      </c>
      <c r="G315" t="str">
        <f>IFERROR(VLOOKUP(F315,citycountry,2,FALSE),"unknown")</f>
        <v>Portugal</v>
      </c>
      <c r="H315" t="s">
        <v>18</v>
      </c>
      <c r="I315" t="s">
        <v>25</v>
      </c>
      <c r="J315" t="s">
        <v>40</v>
      </c>
      <c r="K315" t="str">
        <f>IFERROR(VLOOKUP(J315,producttype,2,FALSE),"unknown")</f>
        <v>Hot</v>
      </c>
      <c r="L315">
        <v>505</v>
      </c>
      <c r="M315" s="2">
        <v>734.11</v>
      </c>
    </row>
    <row r="316" spans="2:13" x14ac:dyDescent="0.2">
      <c r="B316" s="5">
        <v>38465.428697474556</v>
      </c>
      <c r="C316" s="5" t="str">
        <f t="shared" si="4"/>
        <v>Saturday</v>
      </c>
      <c r="D316" s="5" t="str">
        <f>TEXT(B316,"MMMM")</f>
        <v>April</v>
      </c>
      <c r="E316" s="5" t="str">
        <f>IFERROR(VLOOKUP(D316,monthseason,2,FALSE),"unknown")</f>
        <v>Spring</v>
      </c>
      <c r="F316" t="s">
        <v>0</v>
      </c>
      <c r="G316" t="str">
        <f>IFERROR(VLOOKUP(F316,citycountry,2,FALSE),"unknown")</f>
        <v>Portugal</v>
      </c>
      <c r="H316" t="s">
        <v>18</v>
      </c>
      <c r="I316" t="s">
        <v>25</v>
      </c>
      <c r="J316" t="s">
        <v>28</v>
      </c>
      <c r="K316" t="str">
        <f>IFERROR(VLOOKUP(J316,producttype,2,FALSE),"unknown")</f>
        <v>Hot</v>
      </c>
      <c r="L316">
        <v>625</v>
      </c>
      <c r="M316" s="2">
        <v>2198.1</v>
      </c>
    </row>
    <row r="317" spans="2:13" x14ac:dyDescent="0.2">
      <c r="B317" s="5">
        <v>38451.528218503103</v>
      </c>
      <c r="C317" s="5" t="str">
        <f t="shared" si="4"/>
        <v>Saturday</v>
      </c>
      <c r="D317" s="5" t="str">
        <f>TEXT(B317,"MMMM")</f>
        <v>April</v>
      </c>
      <c r="E317" s="5" t="str">
        <f>IFERROR(VLOOKUP(D317,monthseason,2,FALSE),"unknown")</f>
        <v>Spring</v>
      </c>
      <c r="F317" t="s">
        <v>0</v>
      </c>
      <c r="G317" t="str">
        <f>IFERROR(VLOOKUP(F317,citycountry,2,FALSE),"unknown")</f>
        <v>Portugal</v>
      </c>
      <c r="H317" t="s">
        <v>18</v>
      </c>
      <c r="I317" t="s">
        <v>25</v>
      </c>
      <c r="J317" t="s">
        <v>41</v>
      </c>
      <c r="K317" t="str">
        <f>IFERROR(VLOOKUP(J317,producttype,2,FALSE),"unknown")</f>
        <v>Hot</v>
      </c>
      <c r="L317">
        <v>425</v>
      </c>
      <c r="M317" s="2">
        <v>1376.41</v>
      </c>
    </row>
    <row r="318" spans="2:13" x14ac:dyDescent="0.2">
      <c r="B318" s="5">
        <v>38580.076861801848</v>
      </c>
      <c r="C318" s="5" t="str">
        <f t="shared" si="4"/>
        <v>Tuesday</v>
      </c>
      <c r="D318" s="5" t="str">
        <f>TEXT(B318,"MMMM")</f>
        <v>August</v>
      </c>
      <c r="E318" s="5" t="str">
        <f>IFERROR(VLOOKUP(D318,monthseason,2,FALSE),"unknown")</f>
        <v>Summer</v>
      </c>
      <c r="F318" t="s">
        <v>0</v>
      </c>
      <c r="G318" t="str">
        <f>IFERROR(VLOOKUP(F318,citycountry,2,FALSE),"unknown")</f>
        <v>Portugal</v>
      </c>
      <c r="H318" t="s">
        <v>7</v>
      </c>
      <c r="I318" t="s">
        <v>25</v>
      </c>
      <c r="J318" t="s">
        <v>41</v>
      </c>
      <c r="K318" t="str">
        <f>IFERROR(VLOOKUP(J318,producttype,2,FALSE),"unknown")</f>
        <v>Hot</v>
      </c>
      <c r="L318">
        <v>975</v>
      </c>
      <c r="M318" s="2">
        <v>1834.25</v>
      </c>
    </row>
    <row r="319" spans="2:13" x14ac:dyDescent="0.2">
      <c r="B319" s="5">
        <v>38460.06335496933</v>
      </c>
      <c r="C319" s="5" t="str">
        <f t="shared" si="4"/>
        <v>Monday</v>
      </c>
      <c r="D319" s="5" t="str">
        <f>TEXT(B319,"MMMM")</f>
        <v>April</v>
      </c>
      <c r="E319" s="5" t="str">
        <f>IFERROR(VLOOKUP(D319,monthseason,2,FALSE),"unknown")</f>
        <v>Spring</v>
      </c>
      <c r="F319" t="s">
        <v>0</v>
      </c>
      <c r="G319" t="str">
        <f>IFERROR(VLOOKUP(F319,citycountry,2,FALSE),"unknown")</f>
        <v>Portugal</v>
      </c>
      <c r="H319" t="s">
        <v>18</v>
      </c>
      <c r="I319" t="s">
        <v>25</v>
      </c>
      <c r="J319" t="s">
        <v>27</v>
      </c>
      <c r="K319" t="str">
        <f>IFERROR(VLOOKUP(J319,producttype,2,FALSE),"unknown")</f>
        <v>Cold</v>
      </c>
      <c r="L319">
        <v>835</v>
      </c>
      <c r="M319" s="2">
        <v>2524.39</v>
      </c>
    </row>
    <row r="320" spans="2:13" x14ac:dyDescent="0.2">
      <c r="B320" s="5">
        <v>38502.563020479603</v>
      </c>
      <c r="C320" s="5" t="str">
        <f t="shared" si="4"/>
        <v>Monday</v>
      </c>
      <c r="D320" s="5" t="str">
        <f>TEXT(B320,"MMMM")</f>
        <v>May</v>
      </c>
      <c r="E320" s="5" t="str">
        <f>IFERROR(VLOOKUP(D320,monthseason,2,FALSE),"unknown")</f>
        <v>Spring</v>
      </c>
      <c r="F320" t="s">
        <v>0</v>
      </c>
      <c r="G320" t="str">
        <f>IFERROR(VLOOKUP(F320,citycountry,2,FALSE),"unknown")</f>
        <v>Portugal</v>
      </c>
      <c r="H320" t="s">
        <v>5</v>
      </c>
      <c r="I320" t="s">
        <v>25</v>
      </c>
      <c r="J320" t="s">
        <v>27</v>
      </c>
      <c r="K320" t="str">
        <f>IFERROR(VLOOKUP(J320,producttype,2,FALSE),"unknown")</f>
        <v>Cold</v>
      </c>
      <c r="L320">
        <v>90</v>
      </c>
      <c r="M320" s="2">
        <v>256.77999999999997</v>
      </c>
    </row>
    <row r="321" spans="2:13" x14ac:dyDescent="0.2">
      <c r="B321" s="5">
        <v>38511.598387722959</v>
      </c>
      <c r="C321" s="5" t="str">
        <f t="shared" si="4"/>
        <v>Wednesday</v>
      </c>
      <c r="D321" s="5" t="str">
        <f>TEXT(B321,"MMMM")</f>
        <v>June</v>
      </c>
      <c r="E321" s="5" t="str">
        <f>IFERROR(VLOOKUP(D321,monthseason,2,FALSE),"unknown")</f>
        <v>Summer</v>
      </c>
      <c r="F321" t="s">
        <v>0</v>
      </c>
      <c r="G321" t="str">
        <f>IFERROR(VLOOKUP(F321,citycountry,2,FALSE),"unknown")</f>
        <v>Portugal</v>
      </c>
      <c r="H321" t="s">
        <v>17</v>
      </c>
      <c r="I321" t="s">
        <v>25</v>
      </c>
      <c r="J321" t="s">
        <v>27</v>
      </c>
      <c r="K321" t="str">
        <f>IFERROR(VLOOKUP(J321,producttype,2,FALSE),"unknown")</f>
        <v>Cold</v>
      </c>
      <c r="L321">
        <v>120</v>
      </c>
      <c r="M321" s="2">
        <v>424.27</v>
      </c>
    </row>
    <row r="322" spans="2:13" x14ac:dyDescent="0.2">
      <c r="B322" s="5">
        <v>38520.400675806479</v>
      </c>
      <c r="C322" s="5" t="str">
        <f t="shared" si="4"/>
        <v>Friday</v>
      </c>
      <c r="D322" s="5" t="str">
        <f>TEXT(B322,"MMMM")</f>
        <v>June</v>
      </c>
      <c r="E322" s="5" t="str">
        <f>IFERROR(VLOOKUP(D322,monthseason,2,FALSE),"unknown")</f>
        <v>Summer</v>
      </c>
      <c r="F322" t="s">
        <v>0</v>
      </c>
      <c r="G322" t="str">
        <f>IFERROR(VLOOKUP(F322,citycountry,2,FALSE),"unknown")</f>
        <v>Portugal</v>
      </c>
      <c r="H322" t="s">
        <v>17</v>
      </c>
      <c r="I322" t="s">
        <v>25</v>
      </c>
      <c r="J322" t="s">
        <v>27</v>
      </c>
      <c r="K322" t="str">
        <f>IFERROR(VLOOKUP(J322,producttype,2,FALSE),"unknown")</f>
        <v>Cold</v>
      </c>
      <c r="L322">
        <v>295</v>
      </c>
      <c r="M322" s="2">
        <v>1453.51</v>
      </c>
    </row>
    <row r="323" spans="2:13" x14ac:dyDescent="0.2">
      <c r="B323" s="5">
        <v>38531.744024914849</v>
      </c>
      <c r="C323" s="5" t="str">
        <f t="shared" si="4"/>
        <v>Tuesday</v>
      </c>
      <c r="D323" s="5" t="str">
        <f>TEXT(B323,"MMMM")</f>
        <v>June</v>
      </c>
      <c r="E323" s="5" t="str">
        <f>IFERROR(VLOOKUP(D323,monthseason,2,FALSE),"unknown")</f>
        <v>Summer</v>
      </c>
      <c r="F323" t="s">
        <v>0</v>
      </c>
      <c r="G323" t="str">
        <f>IFERROR(VLOOKUP(F323,citycountry,2,FALSE),"unknown")</f>
        <v>Portugal</v>
      </c>
      <c r="H323" t="s">
        <v>13</v>
      </c>
      <c r="I323" t="s">
        <v>25</v>
      </c>
      <c r="J323" t="s">
        <v>27</v>
      </c>
      <c r="K323" t="str">
        <f>IFERROR(VLOOKUP(J323,producttype,2,FALSE),"unknown")</f>
        <v>Cold</v>
      </c>
      <c r="L323">
        <v>50</v>
      </c>
      <c r="M323" s="2">
        <v>57.54</v>
      </c>
    </row>
    <row r="324" spans="2:13" x14ac:dyDescent="0.2">
      <c r="B324" s="5">
        <v>38541.053042089916</v>
      </c>
      <c r="C324" s="5" t="str">
        <f t="shared" ref="C324:C340" si="5">TEXT(B324,"dddd")</f>
        <v>Friday</v>
      </c>
      <c r="D324" s="5" t="str">
        <f>TEXT(B324,"MMMM")</f>
        <v>July</v>
      </c>
      <c r="E324" s="5" t="str">
        <f>IFERROR(VLOOKUP(D324,monthseason,2,FALSE),"unknown")</f>
        <v>Summer</v>
      </c>
      <c r="F324" t="s">
        <v>0</v>
      </c>
      <c r="G324" t="str">
        <f>IFERROR(VLOOKUP(F324,citycountry,2,FALSE),"unknown")</f>
        <v>Portugal</v>
      </c>
      <c r="H324" t="s">
        <v>19</v>
      </c>
      <c r="I324" t="s">
        <v>25</v>
      </c>
      <c r="J324" t="s">
        <v>27</v>
      </c>
      <c r="K324" t="str">
        <f>IFERROR(VLOOKUP(J324,producttype,2,FALSE),"unknown")</f>
        <v>Cold</v>
      </c>
      <c r="L324">
        <v>145</v>
      </c>
      <c r="M324" s="2">
        <v>718.78</v>
      </c>
    </row>
    <row r="325" spans="2:13" x14ac:dyDescent="0.2">
      <c r="B325" s="5">
        <v>38441.718210335959</v>
      </c>
      <c r="C325" s="5" t="str">
        <f t="shared" si="5"/>
        <v>Wednesday</v>
      </c>
      <c r="D325" s="5" t="str">
        <f>TEXT(B325,"MMMM")</f>
        <v>March</v>
      </c>
      <c r="E325" s="5" t="str">
        <f>IFERROR(VLOOKUP(D325,monthseason,2,FALSE),"unknown")</f>
        <v>Spring</v>
      </c>
      <c r="F325" t="s">
        <v>0</v>
      </c>
      <c r="G325" t="str">
        <f>IFERROR(VLOOKUP(F325,citycountry,2,FALSE),"unknown")</f>
        <v>Portugal</v>
      </c>
      <c r="H325" t="s">
        <v>21</v>
      </c>
      <c r="I325" t="s">
        <v>25</v>
      </c>
      <c r="J325" t="s">
        <v>38</v>
      </c>
      <c r="K325" t="str">
        <f>IFERROR(VLOOKUP(J325,producttype,2,FALSE),"unknown")</f>
        <v>Hot</v>
      </c>
      <c r="L325">
        <v>655</v>
      </c>
      <c r="M325" s="2">
        <v>2975.04</v>
      </c>
    </row>
    <row r="326" spans="2:13" x14ac:dyDescent="0.2">
      <c r="B326" s="5">
        <v>38463.159340965103</v>
      </c>
      <c r="C326" s="5" t="str">
        <f t="shared" si="5"/>
        <v>Thursday</v>
      </c>
      <c r="D326" s="5" t="str">
        <f>TEXT(B326,"MMMM")</f>
        <v>April</v>
      </c>
      <c r="E326" s="5" t="str">
        <f>IFERROR(VLOOKUP(D326,monthseason,2,FALSE),"unknown")</f>
        <v>Spring</v>
      </c>
      <c r="F326" t="s">
        <v>0</v>
      </c>
      <c r="G326" t="str">
        <f>IFERROR(VLOOKUP(F326,citycountry,2,FALSE),"unknown")</f>
        <v>Portugal</v>
      </c>
      <c r="H326" t="s">
        <v>13</v>
      </c>
      <c r="I326" t="s">
        <v>25</v>
      </c>
      <c r="J326" t="s">
        <v>38</v>
      </c>
      <c r="K326" t="str">
        <f>IFERROR(VLOOKUP(J326,producttype,2,FALSE),"unknown")</f>
        <v>Hot</v>
      </c>
      <c r="L326">
        <v>505</v>
      </c>
      <c r="M326" s="2">
        <v>1543.49</v>
      </c>
    </row>
    <row r="327" spans="2:13" x14ac:dyDescent="0.2">
      <c r="B327" s="5">
        <v>38461.238211467942</v>
      </c>
      <c r="C327" s="5" t="str">
        <f t="shared" si="5"/>
        <v>Tuesday</v>
      </c>
      <c r="D327" s="5" t="str">
        <f>TEXT(B327,"MMMM")</f>
        <v>April</v>
      </c>
      <c r="E327" s="5" t="str">
        <f>IFERROR(VLOOKUP(D327,monthseason,2,FALSE),"unknown")</f>
        <v>Spring</v>
      </c>
      <c r="F327" t="s">
        <v>0</v>
      </c>
      <c r="G327" t="str">
        <f>IFERROR(VLOOKUP(F327,citycountry,2,FALSE),"unknown")</f>
        <v>Portugal</v>
      </c>
      <c r="H327" t="s">
        <v>13</v>
      </c>
      <c r="I327" t="s">
        <v>29</v>
      </c>
      <c r="J327" t="s">
        <v>39</v>
      </c>
      <c r="K327" t="str">
        <f>IFERROR(VLOOKUP(J327,producttype,2,FALSE),"unknown")</f>
        <v>Cold</v>
      </c>
      <c r="L327">
        <v>370</v>
      </c>
      <c r="M327" s="2">
        <v>366.12</v>
      </c>
    </row>
    <row r="328" spans="2:13" x14ac:dyDescent="0.2">
      <c r="B328" s="5">
        <v>38500.926577331644</v>
      </c>
      <c r="C328" s="5" t="str">
        <f t="shared" si="5"/>
        <v>Saturday</v>
      </c>
      <c r="D328" s="5" t="str">
        <f>TEXT(B328,"MMMM")</f>
        <v>May</v>
      </c>
      <c r="E328" s="5" t="str">
        <f>IFERROR(VLOOKUP(D328,monthseason,2,FALSE),"unknown")</f>
        <v>Spring</v>
      </c>
      <c r="F328" t="s">
        <v>0</v>
      </c>
      <c r="G328" t="str">
        <f>IFERROR(VLOOKUP(F328,citycountry,2,FALSE),"unknown")</f>
        <v>Portugal</v>
      </c>
      <c r="H328" t="s">
        <v>15</v>
      </c>
      <c r="I328" t="s">
        <v>29</v>
      </c>
      <c r="J328" t="s">
        <v>39</v>
      </c>
      <c r="K328" t="str">
        <f>IFERROR(VLOOKUP(J328,producttype,2,FALSE),"unknown")</f>
        <v>Cold</v>
      </c>
      <c r="L328">
        <v>280</v>
      </c>
      <c r="M328" s="2">
        <v>921.53</v>
      </c>
    </row>
    <row r="329" spans="2:13" x14ac:dyDescent="0.2">
      <c r="B329" s="5">
        <v>38575.277385830566</v>
      </c>
      <c r="C329" s="5" t="str">
        <f t="shared" si="5"/>
        <v>Thursday</v>
      </c>
      <c r="D329" s="5" t="str">
        <f>TEXT(B329,"MMMM")</f>
        <v>August</v>
      </c>
      <c r="E329" s="5" t="str">
        <f>IFERROR(VLOOKUP(D329,monthseason,2,FALSE),"unknown")</f>
        <v>Summer</v>
      </c>
      <c r="F329" t="s">
        <v>0</v>
      </c>
      <c r="G329" t="str">
        <f>IFERROR(VLOOKUP(F329,citycountry,2,FALSE),"unknown")</f>
        <v>Portugal</v>
      </c>
      <c r="H329" t="s">
        <v>6</v>
      </c>
      <c r="I329" t="s">
        <v>29</v>
      </c>
      <c r="J329" t="s">
        <v>39</v>
      </c>
      <c r="K329" t="str">
        <f>IFERROR(VLOOKUP(J329,producttype,2,FALSE),"unknown")</f>
        <v>Cold</v>
      </c>
      <c r="L329">
        <v>650</v>
      </c>
      <c r="M329" s="2">
        <v>2127.44</v>
      </c>
    </row>
    <row r="330" spans="2:13" x14ac:dyDescent="0.2">
      <c r="B330" s="5">
        <v>38581.669427887624</v>
      </c>
      <c r="C330" s="5" t="str">
        <f t="shared" si="5"/>
        <v>Wednesday</v>
      </c>
      <c r="D330" s="5" t="str">
        <f>TEXT(B330,"MMMM")</f>
        <v>August</v>
      </c>
      <c r="E330" s="5" t="str">
        <f>IFERROR(VLOOKUP(D330,monthseason,2,FALSE),"unknown")</f>
        <v>Summer</v>
      </c>
      <c r="F330" t="s">
        <v>0</v>
      </c>
      <c r="G330" t="str">
        <f>IFERROR(VLOOKUP(F330,citycountry,2,FALSE),"unknown")</f>
        <v>Portugal</v>
      </c>
      <c r="H330" t="s">
        <v>13</v>
      </c>
      <c r="I330" t="s">
        <v>29</v>
      </c>
      <c r="J330" t="s">
        <v>39</v>
      </c>
      <c r="K330" t="str">
        <f>IFERROR(VLOOKUP(J330,producttype,2,FALSE),"unknown")</f>
        <v>Cold</v>
      </c>
      <c r="L330">
        <v>405</v>
      </c>
      <c r="M330" s="2">
        <v>1104.54</v>
      </c>
    </row>
    <row r="331" spans="2:13" x14ac:dyDescent="0.2">
      <c r="B331" s="5">
        <v>38589.025782020879</v>
      </c>
      <c r="C331" s="5" t="str">
        <f t="shared" si="5"/>
        <v>Thursday</v>
      </c>
      <c r="D331" s="5" t="str">
        <f>TEXT(B331,"MMMM")</f>
        <v>August</v>
      </c>
      <c r="E331" s="5" t="str">
        <f>IFERROR(VLOOKUP(D331,monthseason,2,FALSE),"unknown")</f>
        <v>Summer</v>
      </c>
      <c r="F331" t="s">
        <v>0</v>
      </c>
      <c r="G331" t="str">
        <f>IFERROR(VLOOKUP(F331,citycountry,2,FALSE),"unknown")</f>
        <v>Portugal</v>
      </c>
      <c r="H331" t="s">
        <v>22</v>
      </c>
      <c r="I331" t="s">
        <v>29</v>
      </c>
      <c r="J331" t="s">
        <v>39</v>
      </c>
      <c r="K331" t="str">
        <f>IFERROR(VLOOKUP(J331,producttype,2,FALSE),"unknown")</f>
        <v>Cold</v>
      </c>
      <c r="L331">
        <v>165</v>
      </c>
      <c r="M331" s="2">
        <v>192.16</v>
      </c>
    </row>
    <row r="332" spans="2:13" x14ac:dyDescent="0.2">
      <c r="B332" s="5">
        <v>38463.319813250149</v>
      </c>
      <c r="C332" s="5" t="str">
        <f t="shared" si="5"/>
        <v>Thursday</v>
      </c>
      <c r="D332" s="5" t="str">
        <f>TEXT(B332,"MMMM")</f>
        <v>April</v>
      </c>
      <c r="E332" s="5" t="str">
        <f>IFERROR(VLOOKUP(D332,monthseason,2,FALSE),"unknown")</f>
        <v>Spring</v>
      </c>
      <c r="F332" t="s">
        <v>0</v>
      </c>
      <c r="G332" t="str">
        <f>IFERROR(VLOOKUP(F332,citycountry,2,FALSE),"unknown")</f>
        <v>Portugal</v>
      </c>
      <c r="H332" t="s">
        <v>9</v>
      </c>
      <c r="I332" t="s">
        <v>29</v>
      </c>
      <c r="J332" t="s">
        <v>40</v>
      </c>
      <c r="K332" t="str">
        <f>IFERROR(VLOOKUP(J332,producttype,2,FALSE),"unknown")</f>
        <v>Hot</v>
      </c>
      <c r="L332">
        <v>700</v>
      </c>
      <c r="M332" s="2">
        <v>1046.58</v>
      </c>
    </row>
    <row r="333" spans="2:13" x14ac:dyDescent="0.2">
      <c r="B333" s="5">
        <v>38521.414503203145</v>
      </c>
      <c r="C333" s="5" t="str">
        <f t="shared" si="5"/>
        <v>Saturday</v>
      </c>
      <c r="D333" s="5" t="str">
        <f>TEXT(B333,"MMMM")</f>
        <v>June</v>
      </c>
      <c r="E333" s="5" t="str">
        <f>IFERROR(VLOOKUP(D333,monthseason,2,FALSE),"unknown")</f>
        <v>Summer</v>
      </c>
      <c r="F333" t="s">
        <v>0</v>
      </c>
      <c r="G333" t="str">
        <f>IFERROR(VLOOKUP(F333,citycountry,2,FALSE),"unknown")</f>
        <v>Portugal</v>
      </c>
      <c r="H333" t="s">
        <v>9</v>
      </c>
      <c r="I333" t="s">
        <v>29</v>
      </c>
      <c r="J333" t="s">
        <v>40</v>
      </c>
      <c r="K333" t="str">
        <f>IFERROR(VLOOKUP(J333,producttype,2,FALSE),"unknown")</f>
        <v>Hot</v>
      </c>
      <c r="L333">
        <v>95</v>
      </c>
      <c r="M333" s="2">
        <v>183.38</v>
      </c>
    </row>
    <row r="334" spans="2:13" x14ac:dyDescent="0.2">
      <c r="B334" s="5">
        <v>38451.627441863886</v>
      </c>
      <c r="C334" s="5" t="str">
        <f t="shared" si="5"/>
        <v>Saturday</v>
      </c>
      <c r="D334" s="5" t="str">
        <f>TEXT(B334,"MMMM")</f>
        <v>April</v>
      </c>
      <c r="E334" s="5" t="str">
        <f>IFERROR(VLOOKUP(D334,monthseason,2,FALSE),"unknown")</f>
        <v>Spring</v>
      </c>
      <c r="F334" t="s">
        <v>0</v>
      </c>
      <c r="G334" t="str">
        <f>IFERROR(VLOOKUP(F334,citycountry,2,FALSE),"unknown")</f>
        <v>Portugal</v>
      </c>
      <c r="H334" t="s">
        <v>10</v>
      </c>
      <c r="I334" t="s">
        <v>29</v>
      </c>
      <c r="J334" t="s">
        <v>28</v>
      </c>
      <c r="K334" t="str">
        <f>IFERROR(VLOOKUP(J334,producttype,2,FALSE),"unknown")</f>
        <v>Hot</v>
      </c>
      <c r="L334">
        <v>60</v>
      </c>
      <c r="M334" s="2">
        <v>264.69</v>
      </c>
    </row>
    <row r="335" spans="2:13" x14ac:dyDescent="0.2">
      <c r="B335" s="5">
        <v>38549.186049781259</v>
      </c>
      <c r="C335" s="5" t="str">
        <f t="shared" si="5"/>
        <v>Saturday</v>
      </c>
      <c r="D335" s="5" t="str">
        <f>TEXT(B335,"MMMM")</f>
        <v>July</v>
      </c>
      <c r="E335" s="5" t="str">
        <f>IFERROR(VLOOKUP(D335,monthseason,2,FALSE),"unknown")</f>
        <v>Summer</v>
      </c>
      <c r="F335" t="s">
        <v>0</v>
      </c>
      <c r="G335" t="str">
        <f>IFERROR(VLOOKUP(F335,citycountry,2,FALSE),"unknown")</f>
        <v>Portugal</v>
      </c>
      <c r="H335" t="s">
        <v>19</v>
      </c>
      <c r="I335" t="s">
        <v>29</v>
      </c>
      <c r="J335" t="s">
        <v>28</v>
      </c>
      <c r="K335" t="str">
        <f>IFERROR(VLOOKUP(J335,producttype,2,FALSE),"unknown")</f>
        <v>Hot</v>
      </c>
      <c r="L335">
        <v>890</v>
      </c>
      <c r="M335" s="2">
        <v>3615.2</v>
      </c>
    </row>
    <row r="336" spans="2:13" x14ac:dyDescent="0.2">
      <c r="B336" s="5">
        <v>38455.849240293079</v>
      </c>
      <c r="C336" s="5" t="str">
        <f t="shared" si="5"/>
        <v>Wednesday</v>
      </c>
      <c r="D336" s="5" t="str">
        <f>TEXT(B336,"MMMM")</f>
        <v>April</v>
      </c>
      <c r="E336" s="5" t="str">
        <f>IFERROR(VLOOKUP(D336,monthseason,2,FALSE),"unknown")</f>
        <v>Spring</v>
      </c>
      <c r="F336" t="s">
        <v>0</v>
      </c>
      <c r="G336" t="str">
        <f>IFERROR(VLOOKUP(F336,citycountry,2,FALSE),"unknown")</f>
        <v>Portugal</v>
      </c>
      <c r="H336" t="s">
        <v>13</v>
      </c>
      <c r="I336" t="s">
        <v>29</v>
      </c>
      <c r="J336" t="s">
        <v>41</v>
      </c>
      <c r="K336" t="str">
        <f>IFERROR(VLOOKUP(J336,producttype,2,FALSE),"unknown")</f>
        <v>Hot</v>
      </c>
      <c r="L336">
        <v>300</v>
      </c>
      <c r="M336" s="2">
        <v>914.82</v>
      </c>
    </row>
    <row r="337" spans="2:13" x14ac:dyDescent="0.2">
      <c r="B337" s="5">
        <v>38467.266667137825</v>
      </c>
      <c r="C337" s="5" t="str">
        <f t="shared" si="5"/>
        <v>Monday</v>
      </c>
      <c r="D337" s="5" t="str">
        <f>TEXT(B337,"MMMM")</f>
        <v>April</v>
      </c>
      <c r="E337" s="5" t="str">
        <f>IFERROR(VLOOKUP(D337,monthseason,2,FALSE),"unknown")</f>
        <v>Spring</v>
      </c>
      <c r="F337" t="s">
        <v>0</v>
      </c>
      <c r="G337" t="str">
        <f>IFERROR(VLOOKUP(F337,citycountry,2,FALSE),"unknown")</f>
        <v>Portugal</v>
      </c>
      <c r="H337" t="s">
        <v>9</v>
      </c>
      <c r="I337" t="s">
        <v>29</v>
      </c>
      <c r="J337" t="s">
        <v>41</v>
      </c>
      <c r="K337" t="str">
        <f>IFERROR(VLOOKUP(J337,producttype,2,FALSE),"unknown")</f>
        <v>Hot</v>
      </c>
      <c r="L337">
        <v>625</v>
      </c>
      <c r="M337" s="2">
        <v>1360.34</v>
      </c>
    </row>
    <row r="338" spans="2:13" x14ac:dyDescent="0.2">
      <c r="B338" s="5">
        <v>38501.490702923089</v>
      </c>
      <c r="C338" s="5" t="str">
        <f t="shared" si="5"/>
        <v>Sunday</v>
      </c>
      <c r="D338" s="5" t="str">
        <f>TEXT(B338,"MMMM")</f>
        <v>May</v>
      </c>
      <c r="E338" s="5" t="str">
        <f>IFERROR(VLOOKUP(D338,monthseason,2,FALSE),"unknown")</f>
        <v>Spring</v>
      </c>
      <c r="F338" t="s">
        <v>0</v>
      </c>
      <c r="G338" t="str">
        <f>IFERROR(VLOOKUP(F338,citycountry,2,FALSE),"unknown")</f>
        <v>Portugal</v>
      </c>
      <c r="H338" t="s">
        <v>9</v>
      </c>
      <c r="I338" t="s">
        <v>29</v>
      </c>
      <c r="J338" t="s">
        <v>27</v>
      </c>
      <c r="K338" t="str">
        <f>IFERROR(VLOOKUP(J338,producttype,2,FALSE),"unknown")</f>
        <v>Cold</v>
      </c>
      <c r="L338">
        <v>35</v>
      </c>
      <c r="M338" s="2">
        <v>120.82</v>
      </c>
    </row>
    <row r="339" spans="2:13" x14ac:dyDescent="0.2">
      <c r="B339" s="5">
        <v>38590.997432693453</v>
      </c>
      <c r="C339" s="5" t="str">
        <f t="shared" si="5"/>
        <v>Friday</v>
      </c>
      <c r="D339" s="5" t="str">
        <f>TEXT(B339,"MMMM")</f>
        <v>August</v>
      </c>
      <c r="E339" s="5" t="str">
        <f>IFERROR(VLOOKUP(D339,monthseason,2,FALSE),"unknown")</f>
        <v>Summer</v>
      </c>
      <c r="F339" t="s">
        <v>0</v>
      </c>
      <c r="G339" t="str">
        <f>IFERROR(VLOOKUP(F339,citycountry,2,FALSE),"unknown")</f>
        <v>Portugal</v>
      </c>
      <c r="H339" t="s">
        <v>12</v>
      </c>
      <c r="I339" t="s">
        <v>29</v>
      </c>
      <c r="J339" t="s">
        <v>27</v>
      </c>
      <c r="K339" t="str">
        <f>IFERROR(VLOOKUP(J339,producttype,2,FALSE),"unknown")</f>
        <v>Cold</v>
      </c>
      <c r="L339">
        <v>350</v>
      </c>
      <c r="M339" s="2">
        <v>2634</v>
      </c>
    </row>
    <row r="340" spans="2:13" x14ac:dyDescent="0.2">
      <c r="B340" s="5">
        <v>38462.352063320548</v>
      </c>
      <c r="C340" s="5" t="str">
        <f t="shared" si="5"/>
        <v>Wednesday</v>
      </c>
      <c r="D340" s="5" t="str">
        <f>TEXT(B340,"MMMM")</f>
        <v>April</v>
      </c>
      <c r="E340" s="5" t="str">
        <f>IFERROR(VLOOKUP(D340,monthseason,2,FALSE),"unknown")</f>
        <v>Spring</v>
      </c>
      <c r="F340" t="s">
        <v>0</v>
      </c>
      <c r="G340" t="str">
        <f>IFERROR(VLOOKUP(F340,citycountry,2,FALSE),"unknown")</f>
        <v>Portugal</v>
      </c>
      <c r="H340" t="s">
        <v>17</v>
      </c>
      <c r="I340" t="s">
        <v>29</v>
      </c>
      <c r="J340" t="s">
        <v>38</v>
      </c>
      <c r="K340" t="str">
        <f>IFERROR(VLOOKUP(J340,producttype,2,FALSE),"unknown")</f>
        <v>Hot</v>
      </c>
      <c r="L340">
        <v>820</v>
      </c>
      <c r="M340" s="2">
        <v>5994.27</v>
      </c>
    </row>
  </sheetData>
  <sortState xmlns:xlrd2="http://schemas.microsoft.com/office/spreadsheetml/2017/richdata2" ref="B3:M340">
    <sortCondition ref="F2:F340"/>
  </sortState>
  <phoneticPr fontId="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98E3-B02D-470E-8A63-F4F3024B0118}">
  <dimension ref="A3:I12"/>
  <sheetViews>
    <sheetView workbookViewId="0">
      <selection activeCell="E29" sqref="E29"/>
    </sheetView>
  </sheetViews>
  <sheetFormatPr defaultRowHeight="12.75" x14ac:dyDescent="0.2"/>
  <cols>
    <col min="1" max="1" width="16.5703125" bestFit="1" customWidth="1"/>
    <col min="2" max="2" width="17" bestFit="1" customWidth="1"/>
    <col min="3" max="3" width="9" bestFit="1" customWidth="1"/>
    <col min="4" max="10" width="12" bestFit="1" customWidth="1"/>
    <col min="11" max="11" width="17.7109375" bestFit="1" customWidth="1"/>
    <col min="12" max="12" width="21" bestFit="1" customWidth="1"/>
    <col min="13" max="16" width="12" bestFit="1" customWidth="1"/>
    <col min="17" max="17" width="10.5703125" bestFit="1" customWidth="1"/>
    <col min="18" max="18" width="9" bestFit="1" customWidth="1"/>
    <col min="19" max="19" width="10.7109375" bestFit="1" customWidth="1"/>
    <col min="20" max="20" width="10.5703125" bestFit="1" customWidth="1"/>
    <col min="21" max="23" width="12" bestFit="1" customWidth="1"/>
    <col min="24" max="24" width="8" bestFit="1" customWidth="1"/>
    <col min="25" max="25" width="12" bestFit="1" customWidth="1"/>
    <col min="26" max="26" width="10.28515625" bestFit="1" customWidth="1"/>
    <col min="27" max="30" width="9" bestFit="1" customWidth="1"/>
    <col min="31" max="32" width="8" bestFit="1" customWidth="1"/>
    <col min="33" max="34" width="10.28515625" bestFit="1" customWidth="1"/>
    <col min="35" max="36" width="9" bestFit="1" customWidth="1"/>
    <col min="37" max="38" width="8" bestFit="1" customWidth="1"/>
    <col min="39" max="39" width="9" bestFit="1" customWidth="1"/>
    <col min="40" max="40" width="10.85546875" bestFit="1" customWidth="1"/>
    <col min="41" max="41" width="10.28515625" bestFit="1" customWidth="1"/>
    <col min="42" max="42" width="8.7109375" bestFit="1" customWidth="1"/>
    <col min="43" max="47" width="8" bestFit="1" customWidth="1"/>
    <col min="48" max="48" width="9.5703125" bestFit="1" customWidth="1"/>
    <col min="49" max="49" width="10.28515625" bestFit="1" customWidth="1"/>
    <col min="50" max="50" width="9" bestFit="1" customWidth="1"/>
    <col min="51" max="54" width="8" bestFit="1" customWidth="1"/>
    <col min="55" max="55" width="9" bestFit="1" customWidth="1"/>
    <col min="56" max="56" width="11.5703125" bestFit="1" customWidth="1"/>
    <col min="57" max="57" width="11.7109375" bestFit="1" customWidth="1"/>
    <col min="58" max="58" width="7" bestFit="1" customWidth="1"/>
    <col min="59" max="61" width="8" bestFit="1" customWidth="1"/>
    <col min="62" max="62" width="12.28515625" bestFit="1" customWidth="1"/>
    <col min="63" max="63" width="10.28515625" bestFit="1" customWidth="1"/>
    <col min="64" max="65" width="8" bestFit="1" customWidth="1"/>
    <col min="66" max="67" width="7" bestFit="1" customWidth="1"/>
    <col min="68" max="68" width="11.85546875" bestFit="1" customWidth="1"/>
    <col min="69" max="69" width="7.85546875" bestFit="1" customWidth="1"/>
    <col min="70" max="70" width="8" bestFit="1" customWidth="1"/>
    <col min="71" max="71" width="7" bestFit="1" customWidth="1"/>
    <col min="72" max="72" width="10.7109375" bestFit="1" customWidth="1"/>
    <col min="73" max="73" width="9.42578125" bestFit="1" customWidth="1"/>
    <col min="74" max="75" width="8" bestFit="1" customWidth="1"/>
    <col min="76" max="76" width="7.28515625" bestFit="1" customWidth="1"/>
    <col min="77" max="78" width="8" bestFit="1" customWidth="1"/>
    <col min="79" max="79" width="12.5703125" bestFit="1" customWidth="1"/>
    <col min="80" max="80" width="12" bestFit="1" customWidth="1"/>
    <col min="81" max="81" width="10.28515625" bestFit="1" customWidth="1"/>
    <col min="82" max="82" width="8.7109375" bestFit="1" customWidth="1"/>
    <col min="83" max="83" width="7" bestFit="1" customWidth="1"/>
    <col min="84" max="85" width="8" bestFit="1" customWidth="1"/>
    <col min="86" max="86" width="7" bestFit="1" customWidth="1"/>
    <col min="87" max="87" width="12.28515625" bestFit="1" customWidth="1"/>
    <col min="88" max="88" width="10.28515625" bestFit="1" customWidth="1"/>
    <col min="89" max="89" width="8.7109375" bestFit="1" customWidth="1"/>
    <col min="90" max="93" width="8" bestFit="1" customWidth="1"/>
    <col min="94" max="94" width="11.85546875" bestFit="1" customWidth="1"/>
    <col min="95" max="95" width="10.28515625" bestFit="1" customWidth="1"/>
    <col min="96" max="96" width="8.7109375" bestFit="1" customWidth="1"/>
    <col min="97" max="98" width="8" bestFit="1" customWidth="1"/>
    <col min="99" max="99" width="7.28515625" bestFit="1" customWidth="1"/>
    <col min="100" max="101" width="8" bestFit="1" customWidth="1"/>
    <col min="102" max="102" width="10.7109375" bestFit="1" customWidth="1"/>
    <col min="103" max="103" width="10.28515625" bestFit="1" customWidth="1"/>
    <col min="104" max="104" width="8.7109375" bestFit="1" customWidth="1"/>
    <col min="105" max="108" width="8" bestFit="1" customWidth="1"/>
    <col min="109" max="109" width="12.5703125" bestFit="1" customWidth="1"/>
    <col min="110" max="110" width="10.28515625" bestFit="1" customWidth="1"/>
    <col min="112" max="112" width="8" bestFit="1" customWidth="1"/>
    <col min="113" max="113" width="7.28515625" bestFit="1" customWidth="1"/>
    <col min="114" max="115" width="8" bestFit="1" customWidth="1"/>
    <col min="116" max="116" width="12.28515625" bestFit="1" customWidth="1"/>
    <col min="117" max="117" width="10.28515625" bestFit="1" customWidth="1"/>
    <col min="118" max="121" width="8" bestFit="1" customWidth="1"/>
    <col min="122" max="122" width="7" bestFit="1" customWidth="1"/>
    <col min="123" max="123" width="11.85546875" bestFit="1" customWidth="1"/>
    <col min="124" max="127" width="8" bestFit="1" customWidth="1"/>
    <col min="128" max="128" width="10.7109375" bestFit="1" customWidth="1"/>
    <col min="129" max="129" width="10.28515625" bestFit="1" customWidth="1"/>
    <col min="130" max="132" width="8" bestFit="1" customWidth="1"/>
    <col min="133" max="133" width="12.5703125" bestFit="1" customWidth="1"/>
    <col min="134" max="134" width="10.85546875" bestFit="1" customWidth="1"/>
    <col min="135" max="135" width="10.28515625" bestFit="1" customWidth="1"/>
    <col min="136" max="139" width="8" bestFit="1" customWidth="1"/>
    <col min="140" max="140" width="12.28515625" bestFit="1" customWidth="1"/>
    <col min="141" max="141" width="10.28515625" bestFit="1" customWidth="1"/>
    <col min="142" max="142" width="8.7109375" bestFit="1" customWidth="1"/>
    <col min="143" max="143" width="7.85546875" bestFit="1" customWidth="1"/>
    <col min="144" max="144" width="7.28515625" bestFit="1" customWidth="1"/>
    <col min="145" max="145" width="7" bestFit="1" customWidth="1"/>
    <col min="146" max="146" width="11.85546875" bestFit="1" customWidth="1"/>
    <col min="147" max="147" width="10.28515625" bestFit="1" customWidth="1"/>
    <col min="148" max="148" width="8.7109375" bestFit="1" customWidth="1"/>
    <col min="149" max="149" width="8" bestFit="1" customWidth="1"/>
    <col min="150" max="150" width="7.28515625" bestFit="1" customWidth="1"/>
    <col min="151" max="151" width="7" bestFit="1" customWidth="1"/>
    <col min="152" max="152" width="8" bestFit="1" customWidth="1"/>
    <col min="153" max="153" width="10.7109375" bestFit="1" customWidth="1"/>
    <col min="154" max="154" width="10.28515625" bestFit="1" customWidth="1"/>
    <col min="155" max="158" width="8" bestFit="1" customWidth="1"/>
    <col min="159" max="159" width="12.5703125" bestFit="1" customWidth="1"/>
    <col min="160" max="160" width="9.5703125" bestFit="1" customWidth="1"/>
    <col min="161" max="161" width="10.28515625" bestFit="1" customWidth="1"/>
    <col min="162" max="162" width="8.7109375" bestFit="1" customWidth="1"/>
    <col min="163" max="165" width="8" bestFit="1" customWidth="1"/>
    <col min="166" max="166" width="6" bestFit="1" customWidth="1"/>
    <col min="167" max="167" width="8" bestFit="1" customWidth="1"/>
    <col min="168" max="168" width="12.28515625" bestFit="1" customWidth="1"/>
    <col min="169" max="169" width="10.28515625" bestFit="1" customWidth="1"/>
    <col min="170" max="170" width="8.7109375" bestFit="1" customWidth="1"/>
    <col min="171" max="171" width="8" bestFit="1" customWidth="1"/>
    <col min="172" max="172" width="7.85546875" bestFit="1" customWidth="1"/>
    <col min="173" max="173" width="7.28515625" bestFit="1" customWidth="1"/>
    <col min="174" max="175" width="7" bestFit="1" customWidth="1"/>
    <col min="176" max="176" width="11.85546875" bestFit="1" customWidth="1"/>
    <col min="177" max="177" width="8.7109375" bestFit="1" customWidth="1"/>
    <col min="178" max="179" width="8" bestFit="1" customWidth="1"/>
    <col min="180" max="180" width="7.28515625" bestFit="1" customWidth="1"/>
    <col min="181" max="182" width="7" bestFit="1" customWidth="1"/>
    <col min="183" max="183" width="10.7109375" bestFit="1" customWidth="1"/>
    <col min="184" max="184" width="10.28515625" bestFit="1" customWidth="1"/>
    <col min="185" max="185" width="8.7109375" bestFit="1" customWidth="1"/>
    <col min="186" max="190" width="8" bestFit="1" customWidth="1"/>
    <col min="191" max="191" width="12.5703125" bestFit="1" customWidth="1"/>
    <col min="192" max="192" width="11.5703125" bestFit="1" customWidth="1"/>
    <col min="193" max="193" width="11.7109375" bestFit="1" customWidth="1"/>
  </cols>
  <sheetData>
    <row r="3" spans="1:9" x14ac:dyDescent="0.2">
      <c r="A3" s="7" t="s">
        <v>50</v>
      </c>
      <c r="B3" s="7" t="s">
        <v>49</v>
      </c>
    </row>
    <row r="4" spans="1:9" x14ac:dyDescent="0.2">
      <c r="A4" s="7" t="s">
        <v>47</v>
      </c>
      <c r="B4" t="s">
        <v>3</v>
      </c>
      <c r="C4" t="s">
        <v>4</v>
      </c>
      <c r="D4" t="s">
        <v>36</v>
      </c>
      <c r="E4" t="s">
        <v>37</v>
      </c>
      <c r="F4" t="s">
        <v>2</v>
      </c>
      <c r="G4" t="s">
        <v>1</v>
      </c>
      <c r="H4" t="s">
        <v>0</v>
      </c>
      <c r="I4" t="s">
        <v>48</v>
      </c>
    </row>
    <row r="5" spans="1:9" x14ac:dyDescent="0.2">
      <c r="A5" s="8" t="s">
        <v>28</v>
      </c>
      <c r="B5" s="6">
        <v>1763.7699999999998</v>
      </c>
      <c r="C5" s="6">
        <v>1852.29</v>
      </c>
      <c r="D5" s="6">
        <v>1785.7720000000002</v>
      </c>
      <c r="E5" s="6">
        <v>1888.5633333333333</v>
      </c>
      <c r="F5" s="6">
        <v>1719.1200000000001</v>
      </c>
      <c r="G5" s="6">
        <v>1850.0900000000001</v>
      </c>
      <c r="H5" s="6">
        <v>2055.0479999999998</v>
      </c>
      <c r="I5" s="6">
        <v>1845.416857142857</v>
      </c>
    </row>
    <row r="6" spans="1:9" x14ac:dyDescent="0.2">
      <c r="A6" s="8" t="s">
        <v>43</v>
      </c>
      <c r="B6" s="6">
        <v>1927.7049999999997</v>
      </c>
      <c r="C6" s="6">
        <v>944.77249999999992</v>
      </c>
      <c r="D6" s="6">
        <v>2553.4130000000005</v>
      </c>
      <c r="E6" s="6">
        <v>2164.7783333333332</v>
      </c>
      <c r="F6" s="6">
        <v>1638.9933333333331</v>
      </c>
      <c r="G6" s="6">
        <v>2045.5999999999997</v>
      </c>
      <c r="H6" s="6">
        <v>1970.1157142857144</v>
      </c>
      <c r="I6" s="6">
        <v>2001.0408695652179</v>
      </c>
    </row>
    <row r="7" spans="1:9" x14ac:dyDescent="0.2">
      <c r="A7" s="8" t="s">
        <v>40</v>
      </c>
      <c r="B7" s="6">
        <v>898.1880000000001</v>
      </c>
      <c r="C7" s="6">
        <v>745.52499999999998</v>
      </c>
      <c r="D7" s="6">
        <v>800.63750000000005</v>
      </c>
      <c r="E7" s="6">
        <v>1358.4875000000002</v>
      </c>
      <c r="F7" s="6">
        <v>979.84599999999989</v>
      </c>
      <c r="G7" s="6">
        <v>999.93999999999994</v>
      </c>
      <c r="H7" s="6">
        <v>751.93777777777768</v>
      </c>
      <c r="I7" s="6">
        <v>967.96724999999969</v>
      </c>
    </row>
    <row r="8" spans="1:9" x14ac:dyDescent="0.2">
      <c r="A8" s="8" t="s">
        <v>27</v>
      </c>
      <c r="B8" s="6">
        <v>1096.5472727272729</v>
      </c>
      <c r="C8" s="6">
        <v>1853.095</v>
      </c>
      <c r="D8" s="6">
        <v>1123.5866666666668</v>
      </c>
      <c r="E8" s="6">
        <v>1236.6020000000001</v>
      </c>
      <c r="F8" s="6">
        <v>1366.4644444444446</v>
      </c>
      <c r="G8" s="6">
        <v>1411.3757142857141</v>
      </c>
      <c r="H8" s="6">
        <v>1266.5384615384619</v>
      </c>
      <c r="I8" s="6">
        <v>1313.5505970149256</v>
      </c>
    </row>
    <row r="9" spans="1:9" x14ac:dyDescent="0.2">
      <c r="A9" s="8" t="s">
        <v>38</v>
      </c>
      <c r="B9" s="6">
        <v>1078.7333333333333</v>
      </c>
      <c r="C9" s="6"/>
      <c r="D9" s="6">
        <v>2036.854</v>
      </c>
      <c r="E9" s="6">
        <v>2625.0966666666668</v>
      </c>
      <c r="F9" s="6">
        <v>4270.085</v>
      </c>
      <c r="G9" s="6">
        <v>2974.1999999999994</v>
      </c>
      <c r="H9" s="6">
        <v>3235.71</v>
      </c>
      <c r="I9" s="6">
        <v>2517.1255172413798</v>
      </c>
    </row>
    <row r="10" spans="1:9" x14ac:dyDescent="0.2">
      <c r="A10" s="8" t="s">
        <v>41</v>
      </c>
      <c r="B10" s="6">
        <v>978.78499999999997</v>
      </c>
      <c r="C10" s="6">
        <v>575.07000000000005</v>
      </c>
      <c r="D10" s="6">
        <v>1204.1133333333335</v>
      </c>
      <c r="E10" s="6">
        <v>1094.1622222222222</v>
      </c>
      <c r="F10" s="6">
        <v>1081.5033333333333</v>
      </c>
      <c r="G10" s="6">
        <v>931.26</v>
      </c>
      <c r="H10" s="6">
        <v>1054.90625</v>
      </c>
      <c r="I10" s="6">
        <v>1031.179696969697</v>
      </c>
    </row>
    <row r="11" spans="1:9" x14ac:dyDescent="0.2">
      <c r="A11" s="8" t="s">
        <v>39</v>
      </c>
      <c r="B11" s="6">
        <v>510.23000000000013</v>
      </c>
      <c r="C11" s="6">
        <v>1221.615</v>
      </c>
      <c r="D11" s="6">
        <v>511.97642857142864</v>
      </c>
      <c r="E11" s="6">
        <v>618.91181818181815</v>
      </c>
      <c r="F11" s="6">
        <v>674.5</v>
      </c>
      <c r="G11" s="6">
        <v>625.19909090909096</v>
      </c>
      <c r="H11" s="6">
        <v>1151.9081250000002</v>
      </c>
      <c r="I11" s="6">
        <v>778.27386363636356</v>
      </c>
    </row>
    <row r="12" spans="1:9" x14ac:dyDescent="0.2">
      <c r="A12" s="8" t="s">
        <v>48</v>
      </c>
      <c r="B12" s="6">
        <v>1074.8599999999999</v>
      </c>
      <c r="C12" s="6">
        <v>1320.3000000000002</v>
      </c>
      <c r="D12" s="6">
        <v>1435.0249090909092</v>
      </c>
      <c r="E12" s="6">
        <v>1451.2835593220339</v>
      </c>
      <c r="F12" s="6">
        <v>1301.6393333333335</v>
      </c>
      <c r="G12" s="6">
        <v>1392.9092857142862</v>
      </c>
      <c r="H12" s="6">
        <v>1434.0765079365081</v>
      </c>
      <c r="I12" s="6">
        <v>1357.6263905325445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BDAA-4A2E-4010-B972-AFC2E5A922FC}">
  <dimension ref="A1:B20"/>
  <sheetViews>
    <sheetView workbookViewId="0">
      <selection activeCell="I12" sqref="I12"/>
    </sheetView>
  </sheetViews>
  <sheetFormatPr defaultRowHeight="12.75" x14ac:dyDescent="0.2"/>
  <cols>
    <col min="1" max="1" width="20.85546875" bestFit="1" customWidth="1"/>
    <col min="2" max="2" width="12.42578125" bestFit="1" customWidth="1"/>
    <col min="3" max="3" width="6.7109375" bestFit="1" customWidth="1"/>
    <col min="4" max="4" width="6.85546875" bestFit="1" customWidth="1"/>
    <col min="5" max="5" width="5.140625" bestFit="1" customWidth="1"/>
    <col min="6" max="6" width="5.7109375" bestFit="1" customWidth="1"/>
    <col min="7" max="7" width="5" bestFit="1" customWidth="1"/>
    <col min="8" max="8" width="6.42578125" bestFit="1" customWidth="1"/>
    <col min="9" max="9" width="11.7109375" bestFit="1" customWidth="1"/>
    <col min="10" max="10" width="6" bestFit="1" customWidth="1"/>
    <col min="11" max="11" width="9.140625" bestFit="1" customWidth="1"/>
    <col min="12" max="12" width="6.7109375" bestFit="1" customWidth="1"/>
    <col min="13" max="13" width="9.140625" bestFit="1" customWidth="1"/>
    <col min="14" max="14" width="6" bestFit="1" customWidth="1"/>
    <col min="15" max="15" width="4.42578125" bestFit="1" customWidth="1"/>
    <col min="16" max="16" width="9.140625" bestFit="1" customWidth="1"/>
    <col min="17" max="17" width="6.42578125" bestFit="1" customWidth="1"/>
    <col min="18" max="18" width="9.140625" bestFit="1" customWidth="1"/>
    <col min="19" max="19" width="6" bestFit="1" customWidth="1"/>
    <col min="20" max="20" width="9.140625" bestFit="1" customWidth="1"/>
    <col min="21" max="21" width="6.42578125" bestFit="1" customWidth="1"/>
    <col min="22" max="22" width="9.140625" bestFit="1" customWidth="1"/>
    <col min="23" max="23" width="6" bestFit="1" customWidth="1"/>
    <col min="24" max="24" width="9.140625" bestFit="1" customWidth="1"/>
    <col min="25" max="25" width="6" bestFit="1" customWidth="1"/>
    <col min="26" max="26" width="9.140625" bestFit="1" customWidth="1"/>
    <col min="27" max="27" width="6" bestFit="1" customWidth="1"/>
    <col min="28" max="28" width="9.140625" bestFit="1" customWidth="1"/>
    <col min="29" max="29" width="6" bestFit="1" customWidth="1"/>
    <col min="30" max="30" width="9.140625" bestFit="1" customWidth="1"/>
    <col min="31" max="31" width="6" bestFit="1" customWidth="1"/>
    <col min="32" max="32" width="9.140625" bestFit="1" customWidth="1"/>
    <col min="33" max="33" width="6.42578125" bestFit="1" customWidth="1"/>
    <col min="34" max="34" width="9.140625" bestFit="1" customWidth="1"/>
    <col min="35" max="35" width="6.42578125" bestFit="1" customWidth="1"/>
    <col min="36" max="36" width="9.140625" bestFit="1" customWidth="1"/>
    <col min="37" max="37" width="6" bestFit="1" customWidth="1"/>
    <col min="38" max="38" width="9.140625" bestFit="1" customWidth="1"/>
    <col min="39" max="39" width="6.42578125" bestFit="1" customWidth="1"/>
    <col min="40" max="40" width="9.140625" bestFit="1" customWidth="1"/>
    <col min="41" max="41" width="6.7109375" bestFit="1" customWidth="1"/>
    <col min="42" max="42" width="9.140625" bestFit="1" customWidth="1"/>
    <col min="43" max="43" width="6" bestFit="1" customWidth="1"/>
    <col min="44" max="44" width="9.140625" bestFit="1" customWidth="1"/>
    <col min="45" max="45" width="6.85546875" bestFit="1" customWidth="1"/>
    <col min="46" max="46" width="9.140625" bestFit="1" customWidth="1"/>
    <col min="47" max="47" width="6.42578125" bestFit="1" customWidth="1"/>
    <col min="48" max="48" width="9.140625" bestFit="1" customWidth="1"/>
    <col min="49" max="49" width="6.7109375" bestFit="1" customWidth="1"/>
    <col min="50" max="50" width="9.140625" bestFit="1" customWidth="1"/>
    <col min="51" max="51" width="6.7109375" bestFit="1" customWidth="1"/>
    <col min="52" max="52" width="9.140625" bestFit="1" customWidth="1"/>
    <col min="53" max="53" width="6.7109375" bestFit="1" customWidth="1"/>
    <col min="54" max="54" width="9.140625" bestFit="1" customWidth="1"/>
    <col min="55" max="55" width="6" bestFit="1" customWidth="1"/>
    <col min="56" max="56" width="9.140625" bestFit="1" customWidth="1"/>
    <col min="57" max="57" width="6.85546875" bestFit="1" customWidth="1"/>
    <col min="58" max="58" width="9.140625" bestFit="1" customWidth="1"/>
    <col min="59" max="59" width="6" bestFit="1" customWidth="1"/>
    <col min="60" max="60" width="9.140625" bestFit="1" customWidth="1"/>
    <col min="61" max="61" width="6" bestFit="1" customWidth="1"/>
    <col min="62" max="62" width="9.140625" bestFit="1" customWidth="1"/>
    <col min="63" max="63" width="6.85546875" bestFit="1" customWidth="1"/>
    <col min="64" max="64" width="6.42578125" bestFit="1" customWidth="1"/>
    <col min="65" max="65" width="9.140625" bestFit="1" customWidth="1"/>
    <col min="66" max="66" width="6.42578125" bestFit="1" customWidth="1"/>
    <col min="67" max="67" width="9.140625" bestFit="1" customWidth="1"/>
    <col min="68" max="68" width="6" bestFit="1" customWidth="1"/>
    <col min="69" max="69" width="9.140625" bestFit="1" customWidth="1"/>
    <col min="70" max="70" width="6" bestFit="1" customWidth="1"/>
    <col min="71" max="71" width="9.140625" bestFit="1" customWidth="1"/>
    <col min="72" max="72" width="6.42578125" bestFit="1" customWidth="1"/>
    <col min="73" max="73" width="9.140625" bestFit="1" customWidth="1"/>
    <col min="74" max="75" width="11.7109375" bestFit="1" customWidth="1"/>
  </cols>
  <sheetData>
    <row r="1" spans="1:2" x14ac:dyDescent="0.2">
      <c r="A1" s="7" t="s">
        <v>32</v>
      </c>
      <c r="B1" t="s">
        <v>26</v>
      </c>
    </row>
    <row r="2" spans="1:2" x14ac:dyDescent="0.2">
      <c r="A2" s="7" t="s">
        <v>52</v>
      </c>
      <c r="B2" t="s">
        <v>54</v>
      </c>
    </row>
    <row r="4" spans="1:2" x14ac:dyDescent="0.2">
      <c r="A4" s="7" t="s">
        <v>47</v>
      </c>
      <c r="B4" t="s">
        <v>58</v>
      </c>
    </row>
    <row r="5" spans="1:2" x14ac:dyDescent="0.2">
      <c r="A5" s="8" t="s">
        <v>6</v>
      </c>
      <c r="B5" s="6">
        <v>1605</v>
      </c>
    </row>
    <row r="6" spans="1:2" x14ac:dyDescent="0.2">
      <c r="A6" s="8" t="s">
        <v>12</v>
      </c>
      <c r="B6" s="6">
        <v>325</v>
      </c>
    </row>
    <row r="7" spans="1:2" x14ac:dyDescent="0.2">
      <c r="A7" s="8" t="s">
        <v>5</v>
      </c>
      <c r="B7" s="6">
        <v>775</v>
      </c>
    </row>
    <row r="8" spans="1:2" x14ac:dyDescent="0.2">
      <c r="A8" s="8" t="s">
        <v>20</v>
      </c>
      <c r="B8" s="6">
        <v>1910</v>
      </c>
    </row>
    <row r="9" spans="1:2" x14ac:dyDescent="0.2">
      <c r="A9" s="8" t="s">
        <v>23</v>
      </c>
      <c r="B9" s="6">
        <v>3250</v>
      </c>
    </row>
    <row r="10" spans="1:2" x14ac:dyDescent="0.2">
      <c r="A10" s="8" t="s">
        <v>21</v>
      </c>
      <c r="B10" s="6">
        <v>3925</v>
      </c>
    </row>
    <row r="11" spans="1:2" x14ac:dyDescent="0.2">
      <c r="A11" s="8" t="s">
        <v>24</v>
      </c>
      <c r="B11" s="6">
        <v>1140</v>
      </c>
    </row>
    <row r="12" spans="1:2" x14ac:dyDescent="0.2">
      <c r="A12" s="8" t="s">
        <v>8</v>
      </c>
      <c r="B12" s="6">
        <v>1270</v>
      </c>
    </row>
    <row r="13" spans="1:2" x14ac:dyDescent="0.2">
      <c r="A13" s="8" t="s">
        <v>11</v>
      </c>
      <c r="B13" s="6">
        <v>1360</v>
      </c>
    </row>
    <row r="14" spans="1:2" x14ac:dyDescent="0.2">
      <c r="A14" s="8" t="s">
        <v>14</v>
      </c>
      <c r="B14" s="6">
        <v>805</v>
      </c>
    </row>
    <row r="15" spans="1:2" x14ac:dyDescent="0.2">
      <c r="A15" s="8" t="s">
        <v>16</v>
      </c>
      <c r="B15" s="6">
        <v>250</v>
      </c>
    </row>
    <row r="16" spans="1:2" x14ac:dyDescent="0.2">
      <c r="A16" s="8" t="s">
        <v>10</v>
      </c>
      <c r="B16" s="6">
        <v>1625</v>
      </c>
    </row>
    <row r="17" spans="1:2" x14ac:dyDescent="0.2">
      <c r="A17" s="8" t="s">
        <v>22</v>
      </c>
      <c r="B17" s="6">
        <v>155</v>
      </c>
    </row>
    <row r="18" spans="1:2" x14ac:dyDescent="0.2">
      <c r="A18" s="8" t="s">
        <v>17</v>
      </c>
      <c r="B18" s="6">
        <v>1705</v>
      </c>
    </row>
    <row r="19" spans="1:2" x14ac:dyDescent="0.2">
      <c r="A19" s="8" t="s">
        <v>7</v>
      </c>
      <c r="B19" s="6">
        <v>660</v>
      </c>
    </row>
    <row r="20" spans="1:2" x14ac:dyDescent="0.2">
      <c r="A20" s="8" t="s">
        <v>48</v>
      </c>
      <c r="B20" s="6">
        <v>20760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4829-3FC1-4E1B-BF58-B70A110E1DB3}">
  <dimension ref="A3:I7"/>
  <sheetViews>
    <sheetView workbookViewId="0">
      <selection activeCell="D11" sqref="D11"/>
    </sheetView>
  </sheetViews>
  <sheetFormatPr defaultRowHeight="12.75" x14ac:dyDescent="0.2"/>
  <cols>
    <col min="1" max="1" width="13.85546875" bestFit="1" customWidth="1"/>
    <col min="2" max="2" width="17" bestFit="1" customWidth="1"/>
    <col min="3" max="3" width="6.5703125" bestFit="1" customWidth="1"/>
    <col min="4" max="7" width="6" bestFit="1" customWidth="1"/>
    <col min="8" max="8" width="7.140625" bestFit="1" customWidth="1"/>
    <col min="9" max="9" width="11.7109375" bestFit="1" customWidth="1"/>
  </cols>
  <sheetData>
    <row r="3" spans="1:9" x14ac:dyDescent="0.2">
      <c r="A3" s="7" t="s">
        <v>58</v>
      </c>
      <c r="B3" s="7" t="s">
        <v>49</v>
      </c>
    </row>
    <row r="4" spans="1:9" x14ac:dyDescent="0.2">
      <c r="A4" s="7" t="s">
        <v>47</v>
      </c>
      <c r="B4" t="s">
        <v>64</v>
      </c>
      <c r="C4" t="s">
        <v>65</v>
      </c>
      <c r="D4" t="s">
        <v>66</v>
      </c>
      <c r="E4" t="s">
        <v>63</v>
      </c>
      <c r="F4" t="s">
        <v>67</v>
      </c>
      <c r="G4" t="s">
        <v>68</v>
      </c>
      <c r="H4" t="s">
        <v>69</v>
      </c>
      <c r="I4" t="s">
        <v>48</v>
      </c>
    </row>
    <row r="5" spans="1:9" x14ac:dyDescent="0.2">
      <c r="A5" s="8" t="s">
        <v>60</v>
      </c>
      <c r="B5" s="6">
        <v>1065</v>
      </c>
      <c r="C5" s="6">
        <v>4950</v>
      </c>
      <c r="D5" s="6">
        <v>13185</v>
      </c>
      <c r="E5" s="6">
        <v>20115</v>
      </c>
      <c r="F5" s="6">
        <v>20755</v>
      </c>
      <c r="G5" s="6">
        <v>6400</v>
      </c>
      <c r="H5" s="6">
        <v>5910</v>
      </c>
      <c r="I5" s="6">
        <v>72380</v>
      </c>
    </row>
    <row r="6" spans="1:9" x14ac:dyDescent="0.2">
      <c r="A6" s="8" t="s">
        <v>61</v>
      </c>
      <c r="B6" s="6">
        <v>755</v>
      </c>
      <c r="C6" s="6">
        <v>8330</v>
      </c>
      <c r="D6" s="6">
        <v>31645</v>
      </c>
      <c r="E6" s="6">
        <v>35825</v>
      </c>
      <c r="F6" s="6">
        <v>8955</v>
      </c>
      <c r="G6" s="6">
        <v>5645</v>
      </c>
      <c r="H6" s="6">
        <v>3435</v>
      </c>
      <c r="I6" s="6">
        <v>94590</v>
      </c>
    </row>
    <row r="7" spans="1:9" x14ac:dyDescent="0.2">
      <c r="A7" s="8" t="s">
        <v>48</v>
      </c>
      <c r="B7" s="6">
        <v>1820</v>
      </c>
      <c r="C7" s="6">
        <v>13280</v>
      </c>
      <c r="D7" s="6">
        <v>44830</v>
      </c>
      <c r="E7" s="6">
        <v>55940</v>
      </c>
      <c r="F7" s="6">
        <v>29710</v>
      </c>
      <c r="G7" s="6">
        <v>12045</v>
      </c>
      <c r="H7" s="6">
        <v>9345</v>
      </c>
      <c r="I7" s="6">
        <v>166970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1195-4041-44E7-BF64-F98CD9E123BB}">
  <dimension ref="A3:F7"/>
  <sheetViews>
    <sheetView workbookViewId="0">
      <selection activeCell="C13" sqref="C13"/>
    </sheetView>
  </sheetViews>
  <sheetFormatPr defaultRowHeight="12.75" x14ac:dyDescent="0.2"/>
  <cols>
    <col min="1" max="1" width="14.28515625" bestFit="1" customWidth="1"/>
    <col min="2" max="2" width="17" bestFit="1" customWidth="1"/>
    <col min="3" max="5" width="9" bestFit="1" customWidth="1"/>
    <col min="6" max="6" width="11.7109375" bestFit="1" customWidth="1"/>
    <col min="7" max="8" width="9" bestFit="1" customWidth="1"/>
    <col min="9" max="9" width="11.7109375" bestFit="1" customWidth="1"/>
  </cols>
  <sheetData>
    <row r="3" spans="1:6" x14ac:dyDescent="0.2">
      <c r="A3" s="7" t="s">
        <v>46</v>
      </c>
      <c r="B3" s="7" t="s">
        <v>49</v>
      </c>
    </row>
    <row r="4" spans="1:6" x14ac:dyDescent="0.2">
      <c r="A4" s="7" t="s">
        <v>47</v>
      </c>
      <c r="B4" t="s">
        <v>35</v>
      </c>
      <c r="C4" t="s">
        <v>26</v>
      </c>
      <c r="D4" t="s">
        <v>25</v>
      </c>
      <c r="E4" t="s">
        <v>29</v>
      </c>
      <c r="F4" t="s">
        <v>48</v>
      </c>
    </row>
    <row r="5" spans="1:6" x14ac:dyDescent="0.2">
      <c r="A5" s="8" t="s">
        <v>56</v>
      </c>
      <c r="B5" s="6">
        <v>13904.99</v>
      </c>
      <c r="C5" s="6">
        <v>10299.519999999999</v>
      </c>
      <c r="D5" s="6">
        <v>13354.579999999998</v>
      </c>
      <c r="E5" s="6">
        <v>20943.099999999999</v>
      </c>
      <c r="F5" s="6">
        <v>58502.189999999995</v>
      </c>
    </row>
    <row r="6" spans="1:6" x14ac:dyDescent="0.2">
      <c r="A6" s="8" t="s">
        <v>57</v>
      </c>
      <c r="B6" s="6">
        <v>13559.86</v>
      </c>
      <c r="C6" s="6">
        <v>9087.76</v>
      </c>
      <c r="D6" s="6">
        <v>28405.819999999996</v>
      </c>
      <c r="E6" s="6">
        <v>34572.29</v>
      </c>
      <c r="F6" s="6">
        <v>85625.73000000001</v>
      </c>
    </row>
    <row r="7" spans="1:6" x14ac:dyDescent="0.2">
      <c r="A7" s="8" t="s">
        <v>48</v>
      </c>
      <c r="B7" s="6">
        <v>27464.85</v>
      </c>
      <c r="C7" s="6">
        <v>19387.28</v>
      </c>
      <c r="D7" s="6">
        <v>41760.399999999994</v>
      </c>
      <c r="E7" s="6">
        <v>55515.39</v>
      </c>
      <c r="F7" s="6">
        <v>144127.92000000001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645E-1E6B-49CC-BA8F-E340A4358582}">
  <dimension ref="A3:C7"/>
  <sheetViews>
    <sheetView workbookViewId="0">
      <selection activeCell="C11" sqref="C11"/>
    </sheetView>
  </sheetViews>
  <sheetFormatPr defaultRowHeight="12.75" x14ac:dyDescent="0.2"/>
  <cols>
    <col min="1" max="1" width="13.85546875" bestFit="1" customWidth="1"/>
    <col min="2" max="2" width="17" bestFit="1" customWidth="1"/>
    <col min="3" max="4" width="11.7109375" bestFit="1" customWidth="1"/>
  </cols>
  <sheetData>
    <row r="3" spans="1:3" x14ac:dyDescent="0.2">
      <c r="A3" s="7" t="s">
        <v>46</v>
      </c>
      <c r="B3" s="7" t="s">
        <v>49</v>
      </c>
    </row>
    <row r="4" spans="1:3" x14ac:dyDescent="0.2">
      <c r="A4" s="7" t="s">
        <v>47</v>
      </c>
      <c r="B4" t="s">
        <v>61</v>
      </c>
      <c r="C4" t="s">
        <v>48</v>
      </c>
    </row>
    <row r="5" spans="1:3" x14ac:dyDescent="0.2">
      <c r="A5" s="8" t="s">
        <v>54</v>
      </c>
      <c r="B5" s="6">
        <v>127222.56999999999</v>
      </c>
      <c r="C5" s="6">
        <v>127222.56999999999</v>
      </c>
    </row>
    <row r="6" spans="1:3" x14ac:dyDescent="0.2">
      <c r="A6" s="8" t="s">
        <v>53</v>
      </c>
      <c r="B6" s="6">
        <v>66962.11</v>
      </c>
      <c r="C6" s="6">
        <v>66962.11</v>
      </c>
    </row>
    <row r="7" spans="1:3" x14ac:dyDescent="0.2">
      <c r="A7" s="8" t="s">
        <v>48</v>
      </c>
      <c r="B7" s="6">
        <v>194184.68</v>
      </c>
      <c r="C7" s="6">
        <v>194184.68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6D2F-CD39-4A32-B0A5-62446FE04B67}">
  <dimension ref="A3:E7"/>
  <sheetViews>
    <sheetView workbookViewId="0">
      <selection activeCell="A9" sqref="A9"/>
    </sheetView>
  </sheetViews>
  <sheetFormatPr defaultRowHeight="12.75" x14ac:dyDescent="0.2"/>
  <cols>
    <col min="1" max="1" width="13.85546875" bestFit="1" customWidth="1"/>
    <col min="2" max="2" width="17" bestFit="1" customWidth="1"/>
    <col min="3" max="3" width="8.7109375" bestFit="1" customWidth="1"/>
    <col min="4" max="4" width="7" bestFit="1" customWidth="1"/>
    <col min="5" max="5" width="11.7109375" bestFit="1" customWidth="1"/>
  </cols>
  <sheetData>
    <row r="3" spans="1:5" x14ac:dyDescent="0.2">
      <c r="A3" s="7" t="s">
        <v>58</v>
      </c>
      <c r="B3" s="7" t="s">
        <v>49</v>
      </c>
    </row>
    <row r="4" spans="1:5" x14ac:dyDescent="0.2">
      <c r="A4" s="7" t="s">
        <v>47</v>
      </c>
      <c r="B4" t="s">
        <v>73</v>
      </c>
      <c r="C4" t="s">
        <v>74</v>
      </c>
      <c r="D4" t="s">
        <v>72</v>
      </c>
      <c r="E4" t="s">
        <v>48</v>
      </c>
    </row>
    <row r="5" spans="1:5" x14ac:dyDescent="0.2">
      <c r="A5" s="8" t="s">
        <v>54</v>
      </c>
      <c r="B5" s="6">
        <v>43175</v>
      </c>
      <c r="C5" s="6">
        <v>32050</v>
      </c>
      <c r="D5" s="6">
        <v>755</v>
      </c>
      <c r="E5" s="6">
        <v>75980</v>
      </c>
    </row>
    <row r="6" spans="1:5" x14ac:dyDescent="0.2">
      <c r="A6" s="8" t="s">
        <v>53</v>
      </c>
      <c r="B6" s="6">
        <v>32785</v>
      </c>
      <c r="C6" s="6">
        <v>8675</v>
      </c>
      <c r="D6" s="6"/>
      <c r="E6" s="6">
        <v>41460</v>
      </c>
    </row>
    <row r="7" spans="1:5" x14ac:dyDescent="0.2">
      <c r="A7" s="8" t="s">
        <v>48</v>
      </c>
      <c r="B7" s="6">
        <v>75960</v>
      </c>
      <c r="C7" s="6">
        <v>40725</v>
      </c>
      <c r="D7" s="6">
        <v>755</v>
      </c>
      <c r="E7" s="6">
        <v>117440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45F4-9C2F-447E-AA1B-2EBA670EE59D}">
  <dimension ref="A1:I9"/>
  <sheetViews>
    <sheetView workbookViewId="0">
      <selection activeCell="C12" sqref="C12"/>
    </sheetView>
  </sheetViews>
  <sheetFormatPr defaultRowHeight="12.75" x14ac:dyDescent="0.2"/>
  <cols>
    <col min="1" max="1" width="13.85546875" bestFit="1" customWidth="1"/>
    <col min="2" max="2" width="17" bestFit="1" customWidth="1"/>
    <col min="3" max="3" width="8.5703125" bestFit="1" customWidth="1"/>
    <col min="4" max="4" width="11.5703125" bestFit="1" customWidth="1"/>
    <col min="5" max="5" width="9.28515625" bestFit="1" customWidth="1"/>
    <col min="6" max="6" width="6.7109375" bestFit="1" customWidth="1"/>
    <col min="7" max="7" width="9.140625" bestFit="1" customWidth="1"/>
    <col min="8" max="8" width="7.85546875" bestFit="1" customWidth="1"/>
    <col min="9" max="9" width="11.7109375" bestFit="1" customWidth="1"/>
  </cols>
  <sheetData>
    <row r="1" spans="1:9" x14ac:dyDescent="0.2">
      <c r="A1" s="7" t="s">
        <v>62</v>
      </c>
      <c r="B1" t="s">
        <v>60</v>
      </c>
    </row>
    <row r="3" spans="1:9" x14ac:dyDescent="0.2">
      <c r="A3" s="7" t="s">
        <v>58</v>
      </c>
      <c r="B3" s="7" t="s">
        <v>49</v>
      </c>
    </row>
    <row r="4" spans="1:9" x14ac:dyDescent="0.2">
      <c r="A4" s="7" t="s">
        <v>47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48</v>
      </c>
    </row>
    <row r="5" spans="1:9" x14ac:dyDescent="0.2">
      <c r="A5" s="8" t="s">
        <v>35</v>
      </c>
      <c r="B5" s="6">
        <v>505</v>
      </c>
      <c r="C5" s="6">
        <v>3105</v>
      </c>
      <c r="D5" s="6">
        <v>2515</v>
      </c>
      <c r="E5" s="6">
        <v>2670</v>
      </c>
      <c r="F5" s="6">
        <v>1445</v>
      </c>
      <c r="G5" s="6">
        <v>770</v>
      </c>
      <c r="H5" s="6">
        <v>1045</v>
      </c>
      <c r="I5" s="6">
        <v>12055</v>
      </c>
    </row>
    <row r="6" spans="1:9" x14ac:dyDescent="0.2">
      <c r="A6" s="8" t="s">
        <v>26</v>
      </c>
      <c r="B6" s="6">
        <v>4265</v>
      </c>
      <c r="C6" s="6">
        <v>4430</v>
      </c>
      <c r="D6" s="6">
        <v>1735</v>
      </c>
      <c r="E6" s="6">
        <v>1445</v>
      </c>
      <c r="F6" s="6">
        <v>4390</v>
      </c>
      <c r="G6" s="6">
        <v>3515</v>
      </c>
      <c r="H6" s="6">
        <v>2250</v>
      </c>
      <c r="I6" s="6">
        <v>22030</v>
      </c>
    </row>
    <row r="7" spans="1:9" x14ac:dyDescent="0.2">
      <c r="A7" s="8" t="s">
        <v>25</v>
      </c>
      <c r="B7" s="6">
        <v>3165</v>
      </c>
      <c r="C7" s="6">
        <v>4130</v>
      </c>
      <c r="D7" s="6">
        <v>3810</v>
      </c>
      <c r="E7" s="6">
        <v>2495</v>
      </c>
      <c r="F7" s="6">
        <v>2545</v>
      </c>
      <c r="G7" s="6">
        <v>1135</v>
      </c>
      <c r="H7" s="6">
        <v>4485</v>
      </c>
      <c r="I7" s="6">
        <v>21765</v>
      </c>
    </row>
    <row r="8" spans="1:9" x14ac:dyDescent="0.2">
      <c r="A8" s="8" t="s">
        <v>29</v>
      </c>
      <c r="B8" s="6">
        <v>1245</v>
      </c>
      <c r="C8" s="6">
        <v>1260</v>
      </c>
      <c r="D8" s="6">
        <v>3625</v>
      </c>
      <c r="E8" s="6">
        <v>3305</v>
      </c>
      <c r="F8" s="6">
        <v>2955</v>
      </c>
      <c r="G8" s="6">
        <v>2865</v>
      </c>
      <c r="H8" s="6">
        <v>1275</v>
      </c>
      <c r="I8" s="6">
        <v>16530</v>
      </c>
    </row>
    <row r="9" spans="1:9" x14ac:dyDescent="0.2">
      <c r="A9" s="8" t="s">
        <v>48</v>
      </c>
      <c r="B9" s="6">
        <v>9180</v>
      </c>
      <c r="C9" s="6">
        <v>12925</v>
      </c>
      <c r="D9" s="6">
        <v>11685</v>
      </c>
      <c r="E9" s="6">
        <v>9915</v>
      </c>
      <c r="F9" s="6">
        <v>11335</v>
      </c>
      <c r="G9" s="6">
        <v>8285</v>
      </c>
      <c r="H9" s="6">
        <v>9055</v>
      </c>
      <c r="I9" s="6">
        <v>72380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1038-40C8-43E4-8EE4-27C615AA44AA}">
  <dimension ref="A3:I22"/>
  <sheetViews>
    <sheetView tabSelected="1" workbookViewId="0">
      <selection activeCell="A3" sqref="A3"/>
    </sheetView>
  </sheetViews>
  <sheetFormatPr defaultRowHeight="12.75" x14ac:dyDescent="0.2"/>
  <cols>
    <col min="1" max="1" width="23.28515625" bestFit="1" customWidth="1"/>
    <col min="2" max="2" width="17" bestFit="1" customWidth="1"/>
    <col min="3" max="3" width="8.7109375" bestFit="1" customWidth="1"/>
    <col min="4" max="4" width="7" bestFit="1" customWidth="1"/>
    <col min="5" max="5" width="7.85546875" bestFit="1" customWidth="1"/>
    <col min="6" max="6" width="7.28515625" bestFit="1" customWidth="1"/>
    <col min="7" max="8" width="6" bestFit="1" customWidth="1"/>
    <col min="9" max="9" width="11.7109375" bestFit="1" customWidth="1"/>
    <col min="10" max="10" width="12.42578125" bestFit="1" customWidth="1"/>
    <col min="11" max="11" width="18" bestFit="1" customWidth="1"/>
    <col min="12" max="12" width="12.42578125" bestFit="1" customWidth="1"/>
    <col min="13" max="13" width="18" bestFit="1" customWidth="1"/>
    <col min="14" max="14" width="12.42578125" bestFit="1" customWidth="1"/>
    <col min="15" max="15" width="18" bestFit="1" customWidth="1"/>
    <col min="16" max="16" width="17.85546875" bestFit="1" customWidth="1"/>
    <col min="17" max="17" width="23.28515625" bestFit="1" customWidth="1"/>
  </cols>
  <sheetData>
    <row r="3" spans="1:9" x14ac:dyDescent="0.2">
      <c r="B3" s="7" t="s">
        <v>49</v>
      </c>
    </row>
    <row r="4" spans="1:9" x14ac:dyDescent="0.2">
      <c r="A4" s="7" t="s">
        <v>47</v>
      </c>
      <c r="B4" t="s">
        <v>3</v>
      </c>
      <c r="C4" t="s">
        <v>4</v>
      </c>
      <c r="D4" t="s">
        <v>36</v>
      </c>
      <c r="E4" t="s">
        <v>37</v>
      </c>
      <c r="F4" t="s">
        <v>2</v>
      </c>
      <c r="G4" t="s">
        <v>1</v>
      </c>
      <c r="H4" t="s">
        <v>0</v>
      </c>
      <c r="I4" t="s">
        <v>48</v>
      </c>
    </row>
    <row r="5" spans="1:9" x14ac:dyDescent="0.2">
      <c r="A5" s="8" t="s">
        <v>58</v>
      </c>
      <c r="B5" s="6"/>
      <c r="C5" s="6"/>
      <c r="D5" s="6"/>
      <c r="E5" s="6"/>
      <c r="F5" s="6"/>
      <c r="G5" s="6"/>
      <c r="H5" s="6"/>
      <c r="I5" s="6"/>
    </row>
    <row r="6" spans="1:9" x14ac:dyDescent="0.2">
      <c r="A6" s="9" t="s">
        <v>76</v>
      </c>
      <c r="B6" s="6">
        <v>3695</v>
      </c>
      <c r="C6" s="6">
        <v>1980</v>
      </c>
      <c r="D6" s="6">
        <v>5305</v>
      </c>
      <c r="E6" s="6">
        <v>2725</v>
      </c>
      <c r="F6" s="6">
        <v>985</v>
      </c>
      <c r="G6" s="6">
        <v>2770</v>
      </c>
      <c r="H6" s="6">
        <v>3790</v>
      </c>
      <c r="I6" s="6">
        <v>21250</v>
      </c>
    </row>
    <row r="7" spans="1:9" x14ac:dyDescent="0.2">
      <c r="A7" s="9" t="s">
        <v>77</v>
      </c>
      <c r="B7" s="6">
        <v>1760</v>
      </c>
      <c r="C7" s="6">
        <v>1935</v>
      </c>
      <c r="D7" s="6">
        <v>3125</v>
      </c>
      <c r="E7" s="6">
        <v>9200</v>
      </c>
      <c r="F7" s="6">
        <v>4810</v>
      </c>
      <c r="G7" s="6">
        <v>4250</v>
      </c>
      <c r="H7" s="6">
        <v>6785</v>
      </c>
      <c r="I7" s="6">
        <v>31865</v>
      </c>
    </row>
    <row r="8" spans="1:9" x14ac:dyDescent="0.2">
      <c r="A8" s="9" t="s">
        <v>78</v>
      </c>
      <c r="B8" s="6">
        <v>4320</v>
      </c>
      <c r="C8" s="6">
        <v>4765</v>
      </c>
      <c r="D8" s="6">
        <v>4550</v>
      </c>
      <c r="E8" s="6">
        <v>5840</v>
      </c>
      <c r="F8" s="6">
        <v>1190</v>
      </c>
      <c r="G8" s="6">
        <v>3940</v>
      </c>
      <c r="H8" s="6">
        <v>4185</v>
      </c>
      <c r="I8" s="6">
        <v>28790</v>
      </c>
    </row>
    <row r="9" spans="1:9" x14ac:dyDescent="0.2">
      <c r="A9" s="9" t="s">
        <v>79</v>
      </c>
      <c r="B9" s="6">
        <v>2810</v>
      </c>
      <c r="C9" s="6">
        <v>1080</v>
      </c>
      <c r="D9" s="6">
        <v>4115</v>
      </c>
      <c r="E9" s="6">
        <v>3995</v>
      </c>
      <c r="F9" s="6">
        <v>3405</v>
      </c>
      <c r="G9" s="6">
        <v>4040</v>
      </c>
      <c r="H9" s="6">
        <v>3580</v>
      </c>
      <c r="I9" s="6">
        <v>23025</v>
      </c>
    </row>
    <row r="10" spans="1:9" x14ac:dyDescent="0.2">
      <c r="A10" s="9" t="s">
        <v>80</v>
      </c>
      <c r="B10" s="6">
        <v>4260</v>
      </c>
      <c r="C10" s="6">
        <v>1795</v>
      </c>
      <c r="D10" s="6">
        <v>2625</v>
      </c>
      <c r="E10" s="6">
        <v>3165</v>
      </c>
      <c r="F10" s="6">
        <v>3290</v>
      </c>
      <c r="G10" s="6">
        <v>1840</v>
      </c>
      <c r="H10" s="6">
        <v>2935</v>
      </c>
      <c r="I10" s="6">
        <v>19910</v>
      </c>
    </row>
    <row r="11" spans="1:9" x14ac:dyDescent="0.2">
      <c r="A11" s="9" t="s">
        <v>81</v>
      </c>
      <c r="B11" s="6">
        <v>2565</v>
      </c>
      <c r="C11" s="6">
        <v>4035</v>
      </c>
      <c r="D11" s="6">
        <v>3390</v>
      </c>
      <c r="E11" s="6">
        <v>2230</v>
      </c>
      <c r="F11" s="6">
        <v>4330</v>
      </c>
      <c r="G11" s="6">
        <v>110</v>
      </c>
      <c r="H11" s="6">
        <v>2710</v>
      </c>
      <c r="I11" s="6">
        <v>19370</v>
      </c>
    </row>
    <row r="12" spans="1:9" x14ac:dyDescent="0.2">
      <c r="A12" s="9" t="s">
        <v>82</v>
      </c>
      <c r="B12" s="6">
        <v>2210</v>
      </c>
      <c r="C12" s="6">
        <v>590</v>
      </c>
      <c r="D12" s="6">
        <v>6965</v>
      </c>
      <c r="E12" s="6">
        <v>2950</v>
      </c>
      <c r="F12" s="6">
        <v>1830</v>
      </c>
      <c r="G12" s="6">
        <v>2475</v>
      </c>
      <c r="H12" s="6">
        <v>5740</v>
      </c>
      <c r="I12" s="6">
        <v>22760</v>
      </c>
    </row>
    <row r="13" spans="1:9" x14ac:dyDescent="0.2">
      <c r="A13" s="8" t="s">
        <v>85</v>
      </c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9" t="s">
        <v>76</v>
      </c>
      <c r="B14" s="6">
        <v>7</v>
      </c>
      <c r="C14" s="6">
        <v>4</v>
      </c>
      <c r="D14" s="6">
        <v>8</v>
      </c>
      <c r="E14" s="6">
        <v>6</v>
      </c>
      <c r="F14" s="6">
        <v>3</v>
      </c>
      <c r="G14" s="6">
        <v>6</v>
      </c>
      <c r="H14" s="6">
        <v>7</v>
      </c>
      <c r="I14" s="6">
        <v>41</v>
      </c>
    </row>
    <row r="15" spans="1:9" x14ac:dyDescent="0.2">
      <c r="A15" s="9" t="s">
        <v>77</v>
      </c>
      <c r="B15" s="6">
        <v>4</v>
      </c>
      <c r="C15" s="6">
        <v>4</v>
      </c>
      <c r="D15" s="6">
        <v>7</v>
      </c>
      <c r="E15" s="6">
        <v>14</v>
      </c>
      <c r="F15" s="6">
        <v>7</v>
      </c>
      <c r="G15" s="6">
        <v>8</v>
      </c>
      <c r="H15" s="6">
        <v>10</v>
      </c>
      <c r="I15" s="6">
        <v>54</v>
      </c>
    </row>
    <row r="16" spans="1:9" x14ac:dyDescent="0.2">
      <c r="A16" s="9" t="s">
        <v>78</v>
      </c>
      <c r="B16" s="6">
        <v>7</v>
      </c>
      <c r="C16" s="6">
        <v>8</v>
      </c>
      <c r="D16" s="6">
        <v>7</v>
      </c>
      <c r="E16" s="6">
        <v>11</v>
      </c>
      <c r="F16" s="6">
        <v>5</v>
      </c>
      <c r="G16" s="6">
        <v>9</v>
      </c>
      <c r="H16" s="6">
        <v>10</v>
      </c>
      <c r="I16" s="6">
        <v>57</v>
      </c>
    </row>
    <row r="17" spans="1:9" x14ac:dyDescent="0.2">
      <c r="A17" s="9" t="s">
        <v>79</v>
      </c>
      <c r="B17" s="6">
        <v>6</v>
      </c>
      <c r="C17" s="6">
        <v>2</v>
      </c>
      <c r="D17" s="6">
        <v>7</v>
      </c>
      <c r="E17" s="6">
        <v>11</v>
      </c>
      <c r="F17" s="6">
        <v>9</v>
      </c>
      <c r="G17" s="6">
        <v>6</v>
      </c>
      <c r="H17" s="6">
        <v>7</v>
      </c>
      <c r="I17" s="6">
        <v>48</v>
      </c>
    </row>
    <row r="18" spans="1:9" x14ac:dyDescent="0.2">
      <c r="A18" s="9" t="s">
        <v>80</v>
      </c>
      <c r="B18" s="6">
        <v>8</v>
      </c>
      <c r="C18" s="6">
        <v>4</v>
      </c>
      <c r="D18" s="6">
        <v>6</v>
      </c>
      <c r="E18" s="6">
        <v>6</v>
      </c>
      <c r="F18" s="6">
        <v>9</v>
      </c>
      <c r="G18" s="6">
        <v>6</v>
      </c>
      <c r="H18" s="6">
        <v>9</v>
      </c>
      <c r="I18" s="6">
        <v>48</v>
      </c>
    </row>
    <row r="19" spans="1:9" x14ac:dyDescent="0.2">
      <c r="A19" s="9" t="s">
        <v>81</v>
      </c>
      <c r="B19" s="6">
        <v>6</v>
      </c>
      <c r="C19" s="6">
        <v>6</v>
      </c>
      <c r="D19" s="6">
        <v>6</v>
      </c>
      <c r="E19" s="6">
        <v>4</v>
      </c>
      <c r="F19" s="6">
        <v>9</v>
      </c>
      <c r="G19" s="6">
        <v>1</v>
      </c>
      <c r="H19" s="6">
        <v>8</v>
      </c>
      <c r="I19" s="6">
        <v>40</v>
      </c>
    </row>
    <row r="20" spans="1:9" x14ac:dyDescent="0.2">
      <c r="A20" s="9" t="s">
        <v>82</v>
      </c>
      <c r="B20" s="6">
        <v>6</v>
      </c>
      <c r="C20" s="6">
        <v>2</v>
      </c>
      <c r="D20" s="6">
        <v>14</v>
      </c>
      <c r="E20" s="6">
        <v>7</v>
      </c>
      <c r="F20" s="6">
        <v>3</v>
      </c>
      <c r="G20" s="6">
        <v>6</v>
      </c>
      <c r="H20" s="6">
        <v>12</v>
      </c>
      <c r="I20" s="6">
        <v>50</v>
      </c>
    </row>
    <row r="21" spans="1:9" x14ac:dyDescent="0.2">
      <c r="A21" s="8" t="s">
        <v>83</v>
      </c>
      <c r="B21" s="6">
        <v>21620</v>
      </c>
      <c r="C21" s="6">
        <v>16180</v>
      </c>
      <c r="D21" s="6">
        <v>30075</v>
      </c>
      <c r="E21" s="6">
        <v>30105</v>
      </c>
      <c r="F21" s="6">
        <v>19840</v>
      </c>
      <c r="G21" s="6">
        <v>19425</v>
      </c>
      <c r="H21" s="6">
        <v>29725</v>
      </c>
      <c r="I21" s="6">
        <v>166970</v>
      </c>
    </row>
    <row r="22" spans="1:9" x14ac:dyDescent="0.2">
      <c r="A22" s="8" t="s">
        <v>84</v>
      </c>
      <c r="B22" s="6">
        <v>44</v>
      </c>
      <c r="C22" s="6">
        <v>30</v>
      </c>
      <c r="D22" s="6">
        <v>55</v>
      </c>
      <c r="E22" s="6">
        <v>59</v>
      </c>
      <c r="F22" s="6">
        <v>45</v>
      </c>
      <c r="G22" s="6">
        <v>42</v>
      </c>
      <c r="H22" s="6">
        <v>63</v>
      </c>
      <c r="I22" s="6">
        <v>338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ED42-68CF-4B73-82AA-6B91C2F3C5CC}">
  <dimension ref="B2:I10"/>
  <sheetViews>
    <sheetView workbookViewId="0">
      <selection activeCell="H3" sqref="H3:I10"/>
    </sheetView>
  </sheetViews>
  <sheetFormatPr defaultRowHeight="12.75" x14ac:dyDescent="0.2"/>
  <cols>
    <col min="5" max="5" width="9.7109375" bestFit="1" customWidth="1"/>
  </cols>
  <sheetData>
    <row r="2" spans="2:9" x14ac:dyDescent="0.2">
      <c r="B2" t="s">
        <v>55</v>
      </c>
      <c r="C2" t="s">
        <v>51</v>
      </c>
      <c r="E2" t="s">
        <v>33</v>
      </c>
      <c r="F2" t="s">
        <v>59</v>
      </c>
      <c r="H2" t="s">
        <v>45</v>
      </c>
      <c r="I2" t="s">
        <v>70</v>
      </c>
    </row>
    <row r="3" spans="2:9" x14ac:dyDescent="0.2">
      <c r="B3" t="s">
        <v>36</v>
      </c>
      <c r="C3" t="s">
        <v>54</v>
      </c>
      <c r="E3" t="s">
        <v>39</v>
      </c>
      <c r="F3" t="s">
        <v>60</v>
      </c>
      <c r="H3" t="s">
        <v>71</v>
      </c>
      <c r="I3" t="s">
        <v>72</v>
      </c>
    </row>
    <row r="4" spans="2:9" x14ac:dyDescent="0.2">
      <c r="B4" t="s">
        <v>3</v>
      </c>
      <c r="C4" t="s">
        <v>53</v>
      </c>
      <c r="E4" t="s">
        <v>40</v>
      </c>
      <c r="F4" t="s">
        <v>61</v>
      </c>
      <c r="H4" t="s">
        <v>64</v>
      </c>
      <c r="I4" t="s">
        <v>72</v>
      </c>
    </row>
    <row r="5" spans="2:9" x14ac:dyDescent="0.2">
      <c r="B5" t="s">
        <v>0</v>
      </c>
      <c r="C5" t="s">
        <v>54</v>
      </c>
      <c r="E5" t="s">
        <v>28</v>
      </c>
      <c r="F5" t="s">
        <v>61</v>
      </c>
      <c r="H5" t="s">
        <v>65</v>
      </c>
      <c r="I5" t="s">
        <v>73</v>
      </c>
    </row>
    <row r="6" spans="2:9" x14ac:dyDescent="0.2">
      <c r="B6" t="s">
        <v>4</v>
      </c>
      <c r="C6" t="s">
        <v>54</v>
      </c>
      <c r="E6" t="s">
        <v>41</v>
      </c>
      <c r="F6" t="s">
        <v>61</v>
      </c>
      <c r="H6" t="s">
        <v>66</v>
      </c>
      <c r="I6" t="s">
        <v>73</v>
      </c>
    </row>
    <row r="7" spans="2:9" x14ac:dyDescent="0.2">
      <c r="B7" t="s">
        <v>37</v>
      </c>
      <c r="C7" t="s">
        <v>57</v>
      </c>
      <c r="E7" t="s">
        <v>27</v>
      </c>
      <c r="F7" t="s">
        <v>60</v>
      </c>
      <c r="H7" t="s">
        <v>63</v>
      </c>
      <c r="I7" t="s">
        <v>73</v>
      </c>
    </row>
    <row r="8" spans="2:9" x14ac:dyDescent="0.2">
      <c r="B8" t="s">
        <v>2</v>
      </c>
      <c r="C8" t="s">
        <v>53</v>
      </c>
      <c r="E8" t="s">
        <v>38</v>
      </c>
      <c r="F8" t="s">
        <v>61</v>
      </c>
      <c r="H8" t="s">
        <v>67</v>
      </c>
      <c r="I8" t="s">
        <v>74</v>
      </c>
    </row>
    <row r="9" spans="2:9" x14ac:dyDescent="0.2">
      <c r="B9" t="s">
        <v>1</v>
      </c>
      <c r="C9" t="s">
        <v>56</v>
      </c>
      <c r="E9" t="s">
        <v>43</v>
      </c>
      <c r="F9" t="s">
        <v>61</v>
      </c>
      <c r="H9" t="s">
        <v>68</v>
      </c>
      <c r="I9" t="s">
        <v>74</v>
      </c>
    </row>
    <row r="10" spans="2:9" x14ac:dyDescent="0.2">
      <c r="H10" t="s">
        <v>69</v>
      </c>
      <c r="I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VLookups</vt:lpstr>
      <vt:lpstr>citycountry</vt:lpstr>
      <vt:lpstr>monthseason</vt:lpstr>
      <vt:lpstr>producttype</vt:lpstr>
    </vt:vector>
  </TitlesOfParts>
  <Company>Universidade de Lisboa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HyperVending</dc:title>
  <dc:subject>Tecnologias de Processamento de Dados</dc:subject>
  <dc:creator>António Ferreira;André Falcão</dc:creator>
  <cp:lastModifiedBy>Eow</cp:lastModifiedBy>
  <dcterms:created xsi:type="dcterms:W3CDTF">2006-03-06T11:59:46Z</dcterms:created>
  <dcterms:modified xsi:type="dcterms:W3CDTF">2022-03-15T17:58:21Z</dcterms:modified>
</cp:coreProperties>
</file>