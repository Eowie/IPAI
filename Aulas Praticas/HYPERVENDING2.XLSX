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Eow\Desktop\"/>
    </mc:Choice>
  </mc:AlternateContent>
  <xr:revisionPtr revIDLastSave="0" documentId="13_ncr:1_{A157F9A9-B86D-4134-884A-32B2136E118F}" xr6:coauthVersionLast="47" xr6:coauthVersionMax="47" xr10:uidLastSave="{00000000-0000-0000-0000-000000000000}"/>
  <bookViews>
    <workbookView xWindow="30" yWindow="45" windowWidth="19680" windowHeight="14535" activeTab="4" xr2:uid="{00000000-000D-0000-FFFF-FFFF00000000}"/>
  </bookViews>
  <sheets>
    <sheet name="Data" sheetId="1" r:id="rId1"/>
    <sheet name="dimDate" sheetId="2" r:id="rId2"/>
    <sheet name="dimStore" sheetId="3" r:id="rId3"/>
    <sheet name="dimCustomer" sheetId="4" r:id="rId4"/>
    <sheet name="dimProduct" sheetId="5" r:id="rId5"/>
    <sheet name="Auxiliar" sheetId="8" r:id="rId6"/>
  </sheets>
  <definedNames>
    <definedName name="productVL">Auxiliar!$B$3:$C$9</definedName>
    <definedName name="productVLwithtitle">Auxiliar!$B$2:$C$9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5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3" i="4"/>
  <c r="F4" i="3"/>
  <c r="F5" i="3"/>
  <c r="F6" i="3"/>
  <c r="F7" i="3"/>
  <c r="F8" i="3"/>
  <c r="F9" i="3"/>
  <c r="F3" i="3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" i="5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" i="2"/>
</calcChain>
</file>

<file path=xl/sharedStrings.xml><?xml version="1.0" encoding="utf-8"?>
<sst xmlns="http://schemas.openxmlformats.org/spreadsheetml/2006/main" count="1538" uniqueCount="111">
  <si>
    <t>Porto</t>
  </si>
  <si>
    <t>Paris</t>
  </si>
  <si>
    <t>Madrid</t>
  </si>
  <si>
    <t>Barcelona</t>
  </si>
  <si>
    <t>Coimbra</t>
  </si>
  <si>
    <t>EmpSocor</t>
  </si>
  <si>
    <t>CPPO Int.</t>
  </si>
  <si>
    <t>SONAC</t>
  </si>
  <si>
    <t>José Malhoa, Lda</t>
  </si>
  <si>
    <t>DISONI, SA</t>
  </si>
  <si>
    <t>MSI Ent</t>
  </si>
  <si>
    <t>Lisbon Consulting</t>
  </si>
  <si>
    <t>Dist Mecano</t>
  </si>
  <si>
    <t>Joe Doe &amp; Assoc.</t>
  </si>
  <si>
    <t>Mercatlon</t>
  </si>
  <si>
    <t>Int. Machines</t>
  </si>
  <si>
    <t>Mercotex</t>
  </si>
  <si>
    <t>Silva, Silva e Silva</t>
  </si>
  <si>
    <t>Neural Works, Intl</t>
  </si>
  <si>
    <t>Gurgle Searches</t>
  </si>
  <si>
    <t>Frankenstein and Sons</t>
  </si>
  <si>
    <t>h4xOR b0yZ, Intl</t>
  </si>
  <si>
    <t>MyCO Inf. Systems</t>
  </si>
  <si>
    <t>GIGO-FIFO SA</t>
  </si>
  <si>
    <t>Huey, Dewey and Louie</t>
  </si>
  <si>
    <t>Light</t>
  </si>
  <si>
    <t>Junior</t>
  </si>
  <si>
    <t>Cola</t>
  </si>
  <si>
    <t>Capuccino</t>
  </si>
  <si>
    <t>Quality</t>
  </si>
  <si>
    <t>Date</t>
  </si>
  <si>
    <t>Store</t>
  </si>
  <si>
    <t>Line</t>
  </si>
  <si>
    <t>Product</t>
  </si>
  <si>
    <t>Units</t>
  </si>
  <si>
    <t>Family</t>
  </si>
  <si>
    <t>Lisbon</t>
  </si>
  <si>
    <t>London</t>
  </si>
  <si>
    <t>Soup</t>
  </si>
  <si>
    <t>Water</t>
  </si>
  <si>
    <t>Coffee</t>
  </si>
  <si>
    <t>Tea</t>
  </si>
  <si>
    <t>Customer</t>
  </si>
  <si>
    <t>Cocoa</t>
  </si>
  <si>
    <t>Euros</t>
  </si>
  <si>
    <t>Date key</t>
  </si>
  <si>
    <t>year</t>
  </si>
  <si>
    <t>Semester</t>
  </si>
  <si>
    <t>Month Number in year</t>
  </si>
  <si>
    <t>month name</t>
  </si>
  <si>
    <t>season</t>
  </si>
  <si>
    <t>week number in year</t>
  </si>
  <si>
    <t>day number in month</t>
  </si>
  <si>
    <t>day number in week</t>
  </si>
  <si>
    <t>day of week</t>
  </si>
  <si>
    <t>weekend or weekday</t>
  </si>
  <si>
    <t>hour of day</t>
  </si>
  <si>
    <t>minute in hour</t>
  </si>
  <si>
    <t>part of day</t>
  </si>
  <si>
    <t>Date Key</t>
  </si>
  <si>
    <t>Store Key</t>
  </si>
  <si>
    <t>Customer Key</t>
  </si>
  <si>
    <t>Product Key</t>
  </si>
  <si>
    <t>Store City</t>
  </si>
  <si>
    <t>Store Country</t>
  </si>
  <si>
    <t>Portugal</t>
  </si>
  <si>
    <t>Spain</t>
  </si>
  <si>
    <t>France</t>
  </si>
  <si>
    <t>England</t>
  </si>
  <si>
    <t>Customer Name</t>
  </si>
  <si>
    <t>Product Table</t>
  </si>
  <si>
    <t>Cold</t>
  </si>
  <si>
    <t>LineProduct Reference</t>
  </si>
  <si>
    <t>FamilyWater</t>
  </si>
  <si>
    <t>FamilyCocoa</t>
  </si>
  <si>
    <t>FamilyCoffee</t>
  </si>
  <si>
    <t>FamilyCapuccino</t>
  </si>
  <si>
    <t>FamilyTea</t>
  </si>
  <si>
    <t>FamilyCola</t>
  </si>
  <si>
    <t>FamilySoup</t>
  </si>
  <si>
    <t>JuniorWater</t>
  </si>
  <si>
    <t>JuniorCocoa</t>
  </si>
  <si>
    <t>JuniorCoffee</t>
  </si>
  <si>
    <t>JuniorCapuccino</t>
  </si>
  <si>
    <t>JuniorTea</t>
  </si>
  <si>
    <t>JuniorCola</t>
  </si>
  <si>
    <t>JuniorSoup</t>
  </si>
  <si>
    <t>LightWater</t>
  </si>
  <si>
    <t>LightCocoa</t>
  </si>
  <si>
    <t>LightCoffee</t>
  </si>
  <si>
    <t>LightCapuccino</t>
  </si>
  <si>
    <t>LightTea</t>
  </si>
  <si>
    <t>LightCola</t>
  </si>
  <si>
    <t>LightSoup</t>
  </si>
  <si>
    <t>QualityWater</t>
  </si>
  <si>
    <t>QualityCocoa</t>
  </si>
  <si>
    <t>QualityCoffee</t>
  </si>
  <si>
    <t>QualityCapuccino</t>
  </si>
  <si>
    <t>QualityTea</t>
  </si>
  <si>
    <t>QualityCola</t>
  </si>
  <si>
    <t>QualitySoup</t>
  </si>
  <si>
    <t>Hot</t>
  </si>
  <si>
    <t>Temperature</t>
  </si>
  <si>
    <t>);</t>
  </si>
  <si>
    <t>Store Region</t>
  </si>
  <si>
    <t>Iberia</t>
  </si>
  <si>
    <t>NotIberia</t>
  </si>
  <si>
    <t>ProdLine</t>
  </si>
  <si>
    <t>INSERT INTO TABLE dimStore(storeKey,storeCity,storeCountry,storeRegion) VALUES (</t>
  </si>
  <si>
    <t>INSERT INTO TABLE dimCustomer(customerKey,customerName) VALUES (</t>
  </si>
  <si>
    <t>INSERT INTO TABLE dimProduct(productKey, ,customerName) VALUES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</si>
</sst>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64" fontId="4" fillId="0" borderId="0" xfId="0" applyNumberFormat="1" applyFont="1"/>
    <xf numFmtId="0" fontId="4" fillId="0" borderId="0" xfId="0" applyFont="1"/>
    <xf numFmtId="2" fontId="4" fillId="0" borderId="0" xfId="0" applyNumberFormat="1" applyFont="1"/>
    <xf numFmtId="0" fontId="5" fillId="0" borderId="0" xfId="0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40"/>
  <sheetViews>
    <sheetView zoomScale="115" zoomScaleNormal="115" workbookViewId="0">
      <selection activeCell="J3" sqref="J3"/>
    </sheetView>
  </sheetViews>
  <sheetFormatPr defaultColWidth="8.85546875" defaultRowHeight="12.75" x14ac:dyDescent="0.2"/>
  <cols>
    <col min="1" max="1" width="2.7109375" customWidth="1"/>
    <col min="2" max="2" width="18.140625" style="9" bestFit="1" customWidth="1"/>
    <col min="3" max="3" width="9.28515625" style="9" bestFit="1" customWidth="1"/>
    <col min="4" max="4" width="20.85546875" style="9" bestFit="1" customWidth="1"/>
    <col min="5" max="5" width="6.85546875" style="9" bestFit="1" customWidth="1"/>
    <col min="6" max="6" width="9.7109375" style="9" bestFit="1" customWidth="1"/>
    <col min="7" max="7" width="5.42578125" style="9" bestFit="1" customWidth="1"/>
    <col min="8" max="8" width="7.42578125" style="10" bestFit="1" customWidth="1"/>
    <col min="9" max="9" width="2.7109375" customWidth="1"/>
    <col min="10" max="10" width="9.140625" bestFit="1" customWidth="1"/>
    <col min="11" max="11" width="9.85546875" bestFit="1" customWidth="1"/>
    <col min="12" max="12" width="13.7109375" bestFit="1" customWidth="1"/>
    <col min="13" max="13" width="12" bestFit="1" customWidth="1"/>
    <col min="14" max="14" width="5.42578125" style="11" bestFit="1" customWidth="1"/>
    <col min="15" max="15" width="7.42578125" style="12" bestFit="1" customWidth="1"/>
  </cols>
  <sheetData>
    <row r="2" spans="2:15" s="1" customFormat="1" x14ac:dyDescent="0.2">
      <c r="B2" s="5" t="s">
        <v>30</v>
      </c>
      <c r="C2" s="5" t="s">
        <v>31</v>
      </c>
      <c r="D2" s="5" t="s">
        <v>42</v>
      </c>
      <c r="E2" s="5" t="s">
        <v>32</v>
      </c>
      <c r="F2" s="5" t="s">
        <v>33</v>
      </c>
      <c r="G2" s="6" t="s">
        <v>34</v>
      </c>
      <c r="H2" s="7" t="s">
        <v>44</v>
      </c>
      <c r="J2" s="1" t="s">
        <v>59</v>
      </c>
      <c r="K2" s="1" t="s">
        <v>60</v>
      </c>
      <c r="L2" s="1" t="s">
        <v>61</v>
      </c>
      <c r="M2" s="1" t="s">
        <v>62</v>
      </c>
      <c r="N2" s="3" t="s">
        <v>34</v>
      </c>
      <c r="O2" s="2" t="s">
        <v>44</v>
      </c>
    </row>
    <row r="3" spans="2:15" x14ac:dyDescent="0.2">
      <c r="B3" s="8">
        <v>38429.149979887741</v>
      </c>
      <c r="C3" s="9" t="s">
        <v>1</v>
      </c>
      <c r="D3" s="9" t="s">
        <v>14</v>
      </c>
      <c r="E3" s="9" t="s">
        <v>35</v>
      </c>
      <c r="F3" s="9" t="s">
        <v>39</v>
      </c>
      <c r="G3" s="9">
        <v>410</v>
      </c>
      <c r="H3" s="10">
        <v>365.11</v>
      </c>
      <c r="N3" s="11">
        <v>410</v>
      </c>
      <c r="O3" s="12">
        <v>365.11</v>
      </c>
    </row>
    <row r="4" spans="2:15" x14ac:dyDescent="0.2">
      <c r="B4" s="8">
        <v>38449.930039168656</v>
      </c>
      <c r="C4" s="9" t="s">
        <v>2</v>
      </c>
      <c r="D4" s="9" t="s">
        <v>14</v>
      </c>
      <c r="E4" s="9" t="s">
        <v>35</v>
      </c>
      <c r="F4" s="9" t="s">
        <v>39</v>
      </c>
      <c r="G4" s="9">
        <v>260</v>
      </c>
      <c r="H4" s="10">
        <v>168.83</v>
      </c>
      <c r="N4" s="11">
        <v>260</v>
      </c>
      <c r="O4" s="12">
        <v>168.83</v>
      </c>
    </row>
    <row r="5" spans="2:15" x14ac:dyDescent="0.2">
      <c r="B5" s="8">
        <v>38476.722621370413</v>
      </c>
      <c r="C5" s="9" t="s">
        <v>2</v>
      </c>
      <c r="D5" s="9" t="s">
        <v>11</v>
      </c>
      <c r="E5" s="9" t="s">
        <v>35</v>
      </c>
      <c r="F5" s="9" t="s">
        <v>39</v>
      </c>
      <c r="G5" s="9">
        <v>60</v>
      </c>
      <c r="H5" s="10">
        <v>59.69</v>
      </c>
      <c r="N5" s="11">
        <v>60</v>
      </c>
      <c r="O5" s="12">
        <v>59.69</v>
      </c>
    </row>
    <row r="6" spans="2:15" x14ac:dyDescent="0.2">
      <c r="B6" s="8">
        <v>38477.259613677117</v>
      </c>
      <c r="C6" s="9" t="s">
        <v>3</v>
      </c>
      <c r="D6" s="9" t="s">
        <v>14</v>
      </c>
      <c r="E6" s="9" t="s">
        <v>35</v>
      </c>
      <c r="F6" s="9" t="s">
        <v>39</v>
      </c>
      <c r="G6" s="9">
        <v>605</v>
      </c>
      <c r="H6" s="10">
        <v>269.79000000000002</v>
      </c>
      <c r="N6" s="11">
        <v>605</v>
      </c>
      <c r="O6" s="12">
        <v>269.79000000000002</v>
      </c>
    </row>
    <row r="7" spans="2:15" x14ac:dyDescent="0.2">
      <c r="B7" s="8">
        <v>38489.075914604022</v>
      </c>
      <c r="C7" s="9" t="s">
        <v>4</v>
      </c>
      <c r="D7" s="9" t="s">
        <v>12</v>
      </c>
      <c r="E7" s="9" t="s">
        <v>35</v>
      </c>
      <c r="F7" s="9" t="s">
        <v>39</v>
      </c>
      <c r="G7" s="9">
        <v>885</v>
      </c>
      <c r="H7" s="10">
        <v>774.86</v>
      </c>
      <c r="N7" s="11">
        <v>885</v>
      </c>
      <c r="O7" s="12">
        <v>774.86</v>
      </c>
    </row>
    <row r="8" spans="2:15" x14ac:dyDescent="0.2">
      <c r="B8" s="8">
        <v>38496.888849075796</v>
      </c>
      <c r="C8" s="9" t="s">
        <v>1</v>
      </c>
      <c r="D8" s="9" t="s">
        <v>24</v>
      </c>
      <c r="E8" s="9" t="s">
        <v>35</v>
      </c>
      <c r="F8" s="9" t="s">
        <v>39</v>
      </c>
      <c r="G8" s="9">
        <v>115</v>
      </c>
      <c r="H8" s="10">
        <v>114.09</v>
      </c>
      <c r="N8" s="11">
        <v>115</v>
      </c>
      <c r="O8" s="12">
        <v>114.09</v>
      </c>
    </row>
    <row r="9" spans="2:15" x14ac:dyDescent="0.2">
      <c r="B9" s="8">
        <v>38503.173432557211</v>
      </c>
      <c r="C9" s="9" t="s">
        <v>36</v>
      </c>
      <c r="D9" s="9" t="s">
        <v>17</v>
      </c>
      <c r="E9" s="9" t="s">
        <v>35</v>
      </c>
      <c r="F9" s="9" t="s">
        <v>39</v>
      </c>
      <c r="G9" s="9">
        <v>630</v>
      </c>
      <c r="H9" s="10">
        <v>1880.99</v>
      </c>
      <c r="N9" s="11">
        <v>630</v>
      </c>
      <c r="O9" s="12">
        <v>1880.99</v>
      </c>
    </row>
    <row r="10" spans="2:15" x14ac:dyDescent="0.2">
      <c r="B10" s="8">
        <v>38506.423691498007</v>
      </c>
      <c r="C10" s="9" t="s">
        <v>37</v>
      </c>
      <c r="D10" s="9" t="s">
        <v>10</v>
      </c>
      <c r="E10" s="9" t="s">
        <v>35</v>
      </c>
      <c r="F10" s="9" t="s">
        <v>39</v>
      </c>
      <c r="G10" s="9">
        <v>220</v>
      </c>
      <c r="H10" s="10">
        <v>1355.42</v>
      </c>
      <c r="N10" s="11">
        <v>220</v>
      </c>
      <c r="O10" s="12">
        <v>1355.42</v>
      </c>
    </row>
    <row r="11" spans="2:15" x14ac:dyDescent="0.2">
      <c r="B11" s="8">
        <v>38509.026757659543</v>
      </c>
      <c r="C11" s="9" t="s">
        <v>37</v>
      </c>
      <c r="D11" s="9" t="s">
        <v>15</v>
      </c>
      <c r="E11" s="9" t="s">
        <v>35</v>
      </c>
      <c r="F11" s="9" t="s">
        <v>39</v>
      </c>
      <c r="G11" s="9">
        <v>220</v>
      </c>
      <c r="H11" s="10">
        <v>230.43</v>
      </c>
      <c r="N11" s="11">
        <v>220</v>
      </c>
      <c r="O11" s="12">
        <v>230.43</v>
      </c>
    </row>
    <row r="12" spans="2:15" x14ac:dyDescent="0.2">
      <c r="B12" s="8">
        <v>38512.262453010328</v>
      </c>
      <c r="C12" s="9" t="s">
        <v>0</v>
      </c>
      <c r="D12" s="9" t="s">
        <v>15</v>
      </c>
      <c r="E12" s="9" t="s">
        <v>35</v>
      </c>
      <c r="F12" s="9" t="s">
        <v>39</v>
      </c>
      <c r="G12" s="9">
        <v>550</v>
      </c>
      <c r="H12" s="10">
        <v>3480.86</v>
      </c>
      <c r="N12" s="11">
        <v>550</v>
      </c>
      <c r="O12" s="12">
        <v>3480.86</v>
      </c>
    </row>
    <row r="13" spans="2:15" x14ac:dyDescent="0.2">
      <c r="B13" s="8">
        <v>38512.338617434427</v>
      </c>
      <c r="C13" s="9" t="s">
        <v>2</v>
      </c>
      <c r="D13" s="9" t="s">
        <v>10</v>
      </c>
      <c r="E13" s="9" t="s">
        <v>35</v>
      </c>
      <c r="F13" s="9" t="s">
        <v>39</v>
      </c>
      <c r="G13" s="9">
        <v>205</v>
      </c>
      <c r="H13" s="10">
        <v>1274.07</v>
      </c>
      <c r="N13" s="11">
        <v>205</v>
      </c>
      <c r="O13" s="12">
        <v>1274.07</v>
      </c>
    </row>
    <row r="14" spans="2:15" x14ac:dyDescent="0.2">
      <c r="B14" s="8">
        <v>38514.141112396268</v>
      </c>
      <c r="C14" s="9" t="s">
        <v>36</v>
      </c>
      <c r="D14" s="9" t="s">
        <v>12</v>
      </c>
      <c r="E14" s="9" t="s">
        <v>35</v>
      </c>
      <c r="F14" s="9" t="s">
        <v>39</v>
      </c>
      <c r="G14" s="9">
        <v>675</v>
      </c>
      <c r="H14" s="10">
        <v>601.85</v>
      </c>
      <c r="N14" s="11">
        <v>675</v>
      </c>
      <c r="O14" s="12">
        <v>601.85</v>
      </c>
    </row>
    <row r="15" spans="2:15" x14ac:dyDescent="0.2">
      <c r="B15" s="8">
        <v>38518.445572161916</v>
      </c>
      <c r="C15" s="9" t="s">
        <v>37</v>
      </c>
      <c r="D15" s="9" t="s">
        <v>14</v>
      </c>
      <c r="E15" s="9" t="s">
        <v>35</v>
      </c>
      <c r="F15" s="9" t="s">
        <v>39</v>
      </c>
      <c r="G15" s="9">
        <v>400</v>
      </c>
      <c r="H15" s="10">
        <v>272.69</v>
      </c>
      <c r="N15" s="11">
        <v>400</v>
      </c>
      <c r="O15" s="12">
        <v>272.69</v>
      </c>
    </row>
    <row r="16" spans="2:15" x14ac:dyDescent="0.2">
      <c r="B16" s="8">
        <v>38520.399370577208</v>
      </c>
      <c r="C16" s="9" t="s">
        <v>0</v>
      </c>
      <c r="D16" s="9" t="s">
        <v>14</v>
      </c>
      <c r="E16" s="9" t="s">
        <v>35</v>
      </c>
      <c r="F16" s="9" t="s">
        <v>39</v>
      </c>
      <c r="G16" s="9">
        <v>500</v>
      </c>
      <c r="H16" s="10">
        <v>2522.6799999999998</v>
      </c>
      <c r="N16" s="11">
        <v>500</v>
      </c>
      <c r="O16" s="12">
        <v>2522.6799999999998</v>
      </c>
    </row>
    <row r="17" spans="2:15" x14ac:dyDescent="0.2">
      <c r="B17" s="8">
        <v>38533.613997287219</v>
      </c>
      <c r="C17" s="9" t="s">
        <v>36</v>
      </c>
      <c r="D17" s="9" t="s">
        <v>17</v>
      </c>
      <c r="E17" s="9" t="s">
        <v>35</v>
      </c>
      <c r="F17" s="9" t="s">
        <v>39</v>
      </c>
      <c r="G17" s="9">
        <v>395</v>
      </c>
      <c r="H17" s="10">
        <v>357.3</v>
      </c>
      <c r="N17" s="11">
        <v>395</v>
      </c>
      <c r="O17" s="12">
        <v>357.3</v>
      </c>
    </row>
    <row r="18" spans="2:15" x14ac:dyDescent="0.2">
      <c r="B18" s="8">
        <v>38548.521971182097</v>
      </c>
      <c r="C18" s="9" t="s">
        <v>2</v>
      </c>
      <c r="D18" s="9" t="s">
        <v>12</v>
      </c>
      <c r="E18" s="9" t="s">
        <v>35</v>
      </c>
      <c r="F18" s="9" t="s">
        <v>39</v>
      </c>
      <c r="G18" s="9">
        <v>50</v>
      </c>
      <c r="H18" s="10">
        <v>223.62</v>
      </c>
      <c r="N18" s="11">
        <v>50</v>
      </c>
      <c r="O18" s="12">
        <v>223.62</v>
      </c>
    </row>
    <row r="19" spans="2:15" x14ac:dyDescent="0.2">
      <c r="B19" s="8">
        <v>38566.841863581067</v>
      </c>
      <c r="C19" s="9" t="s">
        <v>4</v>
      </c>
      <c r="D19" s="9" t="s">
        <v>14</v>
      </c>
      <c r="E19" s="9" t="s">
        <v>35</v>
      </c>
      <c r="F19" s="9" t="s">
        <v>39</v>
      </c>
      <c r="G19" s="9">
        <v>640</v>
      </c>
      <c r="H19" s="10">
        <v>1310.98</v>
      </c>
      <c r="N19" s="11">
        <v>640</v>
      </c>
      <c r="O19" s="12">
        <v>1310.98</v>
      </c>
    </row>
    <row r="20" spans="2:15" x14ac:dyDescent="0.2">
      <c r="B20" s="8">
        <v>38418.1801149393</v>
      </c>
      <c r="C20" s="9" t="s">
        <v>0</v>
      </c>
      <c r="D20" s="9" t="s">
        <v>15</v>
      </c>
      <c r="E20" s="9" t="s">
        <v>35</v>
      </c>
      <c r="F20" s="9" t="s">
        <v>43</v>
      </c>
      <c r="G20" s="9">
        <v>5</v>
      </c>
      <c r="H20" s="10">
        <v>21.89</v>
      </c>
      <c r="N20" s="11">
        <v>5</v>
      </c>
      <c r="O20" s="12">
        <v>21.89</v>
      </c>
    </row>
    <row r="21" spans="2:15" x14ac:dyDescent="0.2">
      <c r="B21" s="8">
        <v>38432.700973086314</v>
      </c>
      <c r="C21" s="9" t="s">
        <v>37</v>
      </c>
      <c r="D21" s="9" t="s">
        <v>17</v>
      </c>
      <c r="E21" s="9" t="s">
        <v>35</v>
      </c>
      <c r="F21" s="9" t="s">
        <v>43</v>
      </c>
      <c r="G21" s="9">
        <v>490</v>
      </c>
      <c r="H21" s="10">
        <v>2532.79</v>
      </c>
      <c r="N21" s="11">
        <v>490</v>
      </c>
      <c r="O21" s="12">
        <v>2532.79</v>
      </c>
    </row>
    <row r="22" spans="2:15" x14ac:dyDescent="0.2">
      <c r="B22" s="8">
        <v>38443.752990675406</v>
      </c>
      <c r="C22" s="9" t="s">
        <v>2</v>
      </c>
      <c r="D22" s="9" t="s">
        <v>22</v>
      </c>
      <c r="E22" s="9" t="s">
        <v>35</v>
      </c>
      <c r="F22" s="9" t="s">
        <v>43</v>
      </c>
      <c r="G22" s="9">
        <v>410</v>
      </c>
      <c r="H22" s="10">
        <v>1848.1</v>
      </c>
      <c r="N22" s="11">
        <v>410</v>
      </c>
      <c r="O22" s="12">
        <v>1848.1</v>
      </c>
    </row>
    <row r="23" spans="2:15" x14ac:dyDescent="0.2">
      <c r="B23" s="8">
        <v>38459.460679112373</v>
      </c>
      <c r="C23" s="9" t="s">
        <v>0</v>
      </c>
      <c r="D23" s="9" t="s">
        <v>20</v>
      </c>
      <c r="E23" s="9" t="s">
        <v>35</v>
      </c>
      <c r="F23" s="9" t="s">
        <v>43</v>
      </c>
      <c r="G23" s="9">
        <v>355</v>
      </c>
      <c r="H23" s="10">
        <v>1778.81</v>
      </c>
      <c r="N23" s="11">
        <v>355</v>
      </c>
      <c r="O23" s="12">
        <v>1778.81</v>
      </c>
    </row>
    <row r="24" spans="2:15" x14ac:dyDescent="0.2">
      <c r="B24" s="8">
        <v>38472.960188775833</v>
      </c>
      <c r="C24" s="9" t="s">
        <v>36</v>
      </c>
      <c r="D24" s="9" t="s">
        <v>22</v>
      </c>
      <c r="E24" s="9" t="s">
        <v>35</v>
      </c>
      <c r="F24" s="9" t="s">
        <v>43</v>
      </c>
      <c r="G24" s="9">
        <v>710</v>
      </c>
      <c r="H24" s="10">
        <v>3121.89</v>
      </c>
      <c r="N24" s="11">
        <v>710</v>
      </c>
      <c r="O24" s="12">
        <v>3121.89</v>
      </c>
    </row>
    <row r="25" spans="2:15" x14ac:dyDescent="0.2">
      <c r="B25" s="8">
        <v>38497.326676142555</v>
      </c>
      <c r="C25" s="9" t="s">
        <v>1</v>
      </c>
      <c r="D25" s="9" t="s">
        <v>15</v>
      </c>
      <c r="E25" s="9" t="s">
        <v>35</v>
      </c>
      <c r="F25" s="9" t="s">
        <v>43</v>
      </c>
      <c r="G25" s="9">
        <v>730</v>
      </c>
      <c r="H25" s="10">
        <v>3251.75</v>
      </c>
      <c r="N25" s="11">
        <v>730</v>
      </c>
      <c r="O25" s="12">
        <v>3251.75</v>
      </c>
    </row>
    <row r="26" spans="2:15" x14ac:dyDescent="0.2">
      <c r="B26" s="8">
        <v>38498.200421790229</v>
      </c>
      <c r="C26" s="9" t="s">
        <v>1</v>
      </c>
      <c r="D26" s="9" t="s">
        <v>11</v>
      </c>
      <c r="E26" s="9" t="s">
        <v>35</v>
      </c>
      <c r="F26" s="9" t="s">
        <v>43</v>
      </c>
      <c r="G26" s="9">
        <v>655</v>
      </c>
      <c r="H26" s="10">
        <v>3063.16</v>
      </c>
      <c r="N26" s="11">
        <v>655</v>
      </c>
      <c r="O26" s="12">
        <v>3063.16</v>
      </c>
    </row>
    <row r="27" spans="2:15" x14ac:dyDescent="0.2">
      <c r="B27" s="8">
        <v>38499.589934628842</v>
      </c>
      <c r="C27" s="9" t="s">
        <v>36</v>
      </c>
      <c r="D27" s="9" t="s">
        <v>6</v>
      </c>
      <c r="E27" s="9" t="s">
        <v>35</v>
      </c>
      <c r="F27" s="9" t="s">
        <v>43</v>
      </c>
      <c r="G27" s="9">
        <v>445</v>
      </c>
      <c r="H27" s="10">
        <v>2005.11</v>
      </c>
      <c r="N27" s="11">
        <v>445</v>
      </c>
      <c r="O27" s="12">
        <v>2005.11</v>
      </c>
    </row>
    <row r="28" spans="2:15" x14ac:dyDescent="0.2">
      <c r="B28" s="8">
        <v>38504.635257218477</v>
      </c>
      <c r="C28" s="9" t="s">
        <v>0</v>
      </c>
      <c r="D28" s="9" t="s">
        <v>6</v>
      </c>
      <c r="E28" s="9" t="s">
        <v>35</v>
      </c>
      <c r="F28" s="9" t="s">
        <v>43</v>
      </c>
      <c r="G28" s="9">
        <v>410</v>
      </c>
      <c r="H28" s="10">
        <v>1957.35</v>
      </c>
      <c r="N28" s="11">
        <v>410</v>
      </c>
      <c r="O28" s="12">
        <v>1957.35</v>
      </c>
    </row>
    <row r="29" spans="2:15" x14ac:dyDescent="0.2">
      <c r="B29" s="8">
        <v>38529.303757611749</v>
      </c>
      <c r="C29" s="9" t="s">
        <v>0</v>
      </c>
      <c r="D29" s="9" t="s">
        <v>12</v>
      </c>
      <c r="E29" s="9" t="s">
        <v>35</v>
      </c>
      <c r="F29" s="9" t="s">
        <v>43</v>
      </c>
      <c r="G29" s="9">
        <v>325</v>
      </c>
      <c r="H29" s="10">
        <v>1704.66</v>
      </c>
      <c r="N29" s="11">
        <v>325</v>
      </c>
      <c r="O29" s="12">
        <v>1704.66</v>
      </c>
    </row>
    <row r="30" spans="2:15" x14ac:dyDescent="0.2">
      <c r="B30" s="8">
        <v>38433.391879448944</v>
      </c>
      <c r="C30" s="9" t="s">
        <v>36</v>
      </c>
      <c r="D30" s="9" t="s">
        <v>15</v>
      </c>
      <c r="E30" s="9" t="s">
        <v>35</v>
      </c>
      <c r="F30" s="9" t="s">
        <v>40</v>
      </c>
      <c r="G30" s="9">
        <v>20</v>
      </c>
      <c r="H30" s="10">
        <v>35.840000000000003</v>
      </c>
      <c r="N30" s="11">
        <v>20</v>
      </c>
      <c r="O30" s="12">
        <v>35.840000000000003</v>
      </c>
    </row>
    <row r="31" spans="2:15" x14ac:dyDescent="0.2">
      <c r="B31" s="8">
        <v>38465.887519978787</v>
      </c>
      <c r="C31" s="9" t="s">
        <v>0</v>
      </c>
      <c r="D31" s="9" t="s">
        <v>6</v>
      </c>
      <c r="E31" s="9" t="s">
        <v>35</v>
      </c>
      <c r="F31" s="9" t="s">
        <v>40</v>
      </c>
      <c r="G31" s="9">
        <v>315</v>
      </c>
      <c r="H31" s="10">
        <v>572.64</v>
      </c>
      <c r="N31" s="11">
        <v>315</v>
      </c>
      <c r="O31" s="12">
        <v>572.64</v>
      </c>
    </row>
    <row r="32" spans="2:15" x14ac:dyDescent="0.2">
      <c r="B32" s="8">
        <v>38474.662930797254</v>
      </c>
      <c r="C32" s="9" t="s">
        <v>3</v>
      </c>
      <c r="D32" s="9" t="s">
        <v>14</v>
      </c>
      <c r="E32" s="9" t="s">
        <v>35</v>
      </c>
      <c r="F32" s="9" t="s">
        <v>40</v>
      </c>
      <c r="G32" s="9">
        <v>525</v>
      </c>
      <c r="H32" s="10">
        <v>1095.29</v>
      </c>
      <c r="N32" s="11">
        <v>525</v>
      </c>
      <c r="O32" s="12">
        <v>1095.29</v>
      </c>
    </row>
    <row r="33" spans="2:15" x14ac:dyDescent="0.2">
      <c r="B33" s="8">
        <v>38480.605557013405</v>
      </c>
      <c r="C33" s="9" t="s">
        <v>3</v>
      </c>
      <c r="D33" s="9" t="s">
        <v>14</v>
      </c>
      <c r="E33" s="9" t="s">
        <v>35</v>
      </c>
      <c r="F33" s="9" t="s">
        <v>40</v>
      </c>
      <c r="G33" s="9">
        <v>565</v>
      </c>
      <c r="H33" s="10">
        <v>1233.01</v>
      </c>
      <c r="N33" s="11">
        <v>565</v>
      </c>
      <c r="O33" s="12">
        <v>1233.01</v>
      </c>
    </row>
    <row r="34" spans="2:15" x14ac:dyDescent="0.2">
      <c r="B34" s="8">
        <v>38481.040469011852</v>
      </c>
      <c r="C34" s="9" t="s">
        <v>4</v>
      </c>
      <c r="D34" s="9" t="s">
        <v>12</v>
      </c>
      <c r="E34" s="9" t="s">
        <v>35</v>
      </c>
      <c r="F34" s="9" t="s">
        <v>40</v>
      </c>
      <c r="G34" s="9">
        <v>265</v>
      </c>
      <c r="H34" s="10">
        <v>492.34</v>
      </c>
      <c r="N34" s="11">
        <v>265</v>
      </c>
      <c r="O34" s="12">
        <v>492.34</v>
      </c>
    </row>
    <row r="35" spans="2:15" x14ac:dyDescent="0.2">
      <c r="B35" s="8">
        <v>38488.360332141267</v>
      </c>
      <c r="C35" s="9" t="s">
        <v>0</v>
      </c>
      <c r="D35" s="9" t="s">
        <v>8</v>
      </c>
      <c r="E35" s="9" t="s">
        <v>35</v>
      </c>
      <c r="F35" s="9" t="s">
        <v>40</v>
      </c>
      <c r="G35" s="9">
        <v>715</v>
      </c>
      <c r="H35" s="10">
        <v>1331.21</v>
      </c>
      <c r="N35" s="11">
        <v>715</v>
      </c>
      <c r="O35" s="12">
        <v>1331.21</v>
      </c>
    </row>
    <row r="36" spans="2:15" x14ac:dyDescent="0.2">
      <c r="B36" s="8">
        <v>38503.136591256596</v>
      </c>
      <c r="C36" s="9" t="s">
        <v>1</v>
      </c>
      <c r="D36" s="9" t="s">
        <v>8</v>
      </c>
      <c r="E36" s="9" t="s">
        <v>35</v>
      </c>
      <c r="F36" s="9" t="s">
        <v>40</v>
      </c>
      <c r="G36" s="9">
        <v>855</v>
      </c>
      <c r="H36" s="10">
        <v>1751.85</v>
      </c>
      <c r="N36" s="11">
        <v>855</v>
      </c>
      <c r="O36" s="12">
        <v>1751.85</v>
      </c>
    </row>
    <row r="37" spans="2:15" x14ac:dyDescent="0.2">
      <c r="B37" s="8">
        <v>38519.858648719281</v>
      </c>
      <c r="C37" s="9" t="s">
        <v>3</v>
      </c>
      <c r="D37" s="9" t="s">
        <v>24</v>
      </c>
      <c r="E37" s="9" t="s">
        <v>35</v>
      </c>
      <c r="F37" s="9" t="s">
        <v>40</v>
      </c>
      <c r="G37" s="9">
        <v>800</v>
      </c>
      <c r="H37" s="10">
        <v>1438.51</v>
      </c>
      <c r="N37" s="11">
        <v>800</v>
      </c>
      <c r="O37" s="12">
        <v>1438.51</v>
      </c>
    </row>
    <row r="38" spans="2:15" x14ac:dyDescent="0.2">
      <c r="B38" s="8">
        <v>38524.953235074972</v>
      </c>
      <c r="C38" s="9" t="s">
        <v>37</v>
      </c>
      <c r="D38" s="9" t="s">
        <v>14</v>
      </c>
      <c r="E38" s="9" t="s">
        <v>35</v>
      </c>
      <c r="F38" s="9" t="s">
        <v>40</v>
      </c>
      <c r="G38" s="9">
        <v>980</v>
      </c>
      <c r="H38" s="10">
        <v>2116.87</v>
      </c>
      <c r="N38" s="11">
        <v>980</v>
      </c>
      <c r="O38" s="12">
        <v>2116.87</v>
      </c>
    </row>
    <row r="39" spans="2:15" x14ac:dyDescent="0.2">
      <c r="B39" s="8">
        <v>38537.651911331006</v>
      </c>
      <c r="C39" s="9" t="s">
        <v>1</v>
      </c>
      <c r="D39" s="9" t="s">
        <v>15</v>
      </c>
      <c r="E39" s="9" t="s">
        <v>35</v>
      </c>
      <c r="F39" s="9" t="s">
        <v>40</v>
      </c>
      <c r="G39" s="9">
        <v>850</v>
      </c>
      <c r="H39" s="10">
        <v>1718.3</v>
      </c>
      <c r="N39" s="11">
        <v>850</v>
      </c>
      <c r="O39" s="12">
        <v>1718.3</v>
      </c>
    </row>
    <row r="40" spans="2:15" x14ac:dyDescent="0.2">
      <c r="B40" s="8">
        <v>38541.2152804098</v>
      </c>
      <c r="C40" s="9" t="s">
        <v>0</v>
      </c>
      <c r="D40" s="9" t="s">
        <v>7</v>
      </c>
      <c r="E40" s="9" t="s">
        <v>35</v>
      </c>
      <c r="F40" s="9" t="s">
        <v>40</v>
      </c>
      <c r="G40" s="9">
        <v>205</v>
      </c>
      <c r="H40" s="10">
        <v>392.46</v>
      </c>
      <c r="N40" s="11">
        <v>205</v>
      </c>
      <c r="O40" s="12">
        <v>392.46</v>
      </c>
    </row>
    <row r="41" spans="2:15" x14ac:dyDescent="0.2">
      <c r="B41" s="8">
        <v>38566.439597705736</v>
      </c>
      <c r="C41" s="9" t="s">
        <v>0</v>
      </c>
      <c r="D41" s="9" t="s">
        <v>20</v>
      </c>
      <c r="E41" s="9" t="s">
        <v>35</v>
      </c>
      <c r="F41" s="9" t="s">
        <v>40</v>
      </c>
      <c r="G41" s="9">
        <v>940</v>
      </c>
      <c r="H41" s="10">
        <v>1826.34</v>
      </c>
      <c r="N41" s="11">
        <v>940</v>
      </c>
      <c r="O41" s="12">
        <v>1826.34</v>
      </c>
    </row>
    <row r="42" spans="2:15" x14ac:dyDescent="0.2">
      <c r="B42" s="8">
        <v>38411.878229510097</v>
      </c>
      <c r="C42" s="9" t="s">
        <v>36</v>
      </c>
      <c r="D42" s="9" t="s">
        <v>17</v>
      </c>
      <c r="E42" s="9" t="s">
        <v>35</v>
      </c>
      <c r="F42" s="9" t="s">
        <v>28</v>
      </c>
      <c r="G42" s="9">
        <v>755</v>
      </c>
      <c r="H42" s="10">
        <v>2801.51</v>
      </c>
      <c r="N42" s="11">
        <v>755</v>
      </c>
      <c r="O42" s="12">
        <v>2801.51</v>
      </c>
    </row>
    <row r="43" spans="2:15" x14ac:dyDescent="0.2">
      <c r="B43" s="8">
        <v>38431.998036309044</v>
      </c>
      <c r="C43" s="9" t="s">
        <v>2</v>
      </c>
      <c r="D43" s="9" t="s">
        <v>24</v>
      </c>
      <c r="E43" s="9" t="s">
        <v>35</v>
      </c>
      <c r="F43" s="9" t="s">
        <v>28</v>
      </c>
      <c r="G43" s="9">
        <v>865</v>
      </c>
      <c r="H43" s="10">
        <v>3410.77</v>
      </c>
      <c r="N43" s="11">
        <v>865</v>
      </c>
      <c r="O43" s="12">
        <v>3410.77</v>
      </c>
    </row>
    <row r="44" spans="2:15" x14ac:dyDescent="0.2">
      <c r="B44" s="8">
        <v>38455.299489112374</v>
      </c>
      <c r="C44" s="9" t="s">
        <v>3</v>
      </c>
      <c r="D44" s="9" t="s">
        <v>8</v>
      </c>
      <c r="E44" s="9" t="s">
        <v>35</v>
      </c>
      <c r="F44" s="9" t="s">
        <v>28</v>
      </c>
      <c r="G44" s="9">
        <v>900</v>
      </c>
      <c r="H44" s="10">
        <v>3404.34</v>
      </c>
      <c r="N44" s="11">
        <v>900</v>
      </c>
      <c r="O44" s="12">
        <v>3404.34</v>
      </c>
    </row>
    <row r="45" spans="2:15" x14ac:dyDescent="0.2">
      <c r="B45" s="8">
        <v>38462.711360584886</v>
      </c>
      <c r="C45" s="9" t="s">
        <v>2</v>
      </c>
      <c r="D45" s="9" t="s">
        <v>14</v>
      </c>
      <c r="E45" s="9" t="s">
        <v>35</v>
      </c>
      <c r="F45" s="9" t="s">
        <v>28</v>
      </c>
      <c r="G45" s="9">
        <v>450</v>
      </c>
      <c r="H45" s="10">
        <v>700.48</v>
      </c>
      <c r="N45" s="11">
        <v>450</v>
      </c>
      <c r="O45" s="12">
        <v>700.48</v>
      </c>
    </row>
    <row r="46" spans="2:15" x14ac:dyDescent="0.2">
      <c r="B46" s="8">
        <v>38469.319980600965</v>
      </c>
      <c r="C46" s="9" t="s">
        <v>0</v>
      </c>
      <c r="D46" s="9" t="s">
        <v>17</v>
      </c>
      <c r="E46" s="9" t="s">
        <v>35</v>
      </c>
      <c r="F46" s="9" t="s">
        <v>28</v>
      </c>
      <c r="G46" s="9">
        <v>90</v>
      </c>
      <c r="H46" s="10">
        <v>368.07</v>
      </c>
      <c r="N46" s="11">
        <v>90</v>
      </c>
      <c r="O46" s="12">
        <v>368.07</v>
      </c>
    </row>
    <row r="47" spans="2:15" x14ac:dyDescent="0.2">
      <c r="B47" s="8">
        <v>38473.883420847807</v>
      </c>
      <c r="C47" s="9" t="s">
        <v>0</v>
      </c>
      <c r="D47" s="9" t="s">
        <v>7</v>
      </c>
      <c r="E47" s="9" t="s">
        <v>35</v>
      </c>
      <c r="F47" s="9" t="s">
        <v>28</v>
      </c>
      <c r="G47" s="9">
        <v>995</v>
      </c>
      <c r="H47" s="10">
        <v>3829.18</v>
      </c>
      <c r="N47" s="11">
        <v>995</v>
      </c>
      <c r="O47" s="12">
        <v>3829.18</v>
      </c>
    </row>
    <row r="48" spans="2:15" x14ac:dyDescent="0.2">
      <c r="B48" s="8">
        <v>38477.857156912993</v>
      </c>
      <c r="C48" s="9" t="s">
        <v>2</v>
      </c>
      <c r="D48" s="9" t="s">
        <v>24</v>
      </c>
      <c r="E48" s="9" t="s">
        <v>35</v>
      </c>
      <c r="F48" s="9" t="s">
        <v>28</v>
      </c>
      <c r="G48" s="9">
        <v>275</v>
      </c>
      <c r="H48" s="10">
        <v>992.68</v>
      </c>
      <c r="N48" s="11">
        <v>275</v>
      </c>
      <c r="O48" s="12">
        <v>992.68</v>
      </c>
    </row>
    <row r="49" spans="2:15" x14ac:dyDescent="0.2">
      <c r="B49" s="8">
        <v>38491.981922424355</v>
      </c>
      <c r="C49" s="9" t="s">
        <v>36</v>
      </c>
      <c r="D49" s="9" t="s">
        <v>10</v>
      </c>
      <c r="E49" s="9" t="s">
        <v>35</v>
      </c>
      <c r="F49" s="9" t="s">
        <v>28</v>
      </c>
      <c r="G49" s="9">
        <v>895</v>
      </c>
      <c r="H49" s="10">
        <v>3554.01</v>
      </c>
      <c r="N49" s="11">
        <v>895</v>
      </c>
      <c r="O49" s="12">
        <v>3554.01</v>
      </c>
    </row>
    <row r="50" spans="2:15" x14ac:dyDescent="0.2">
      <c r="B50" s="8">
        <v>38556.158254052323</v>
      </c>
      <c r="C50" s="9" t="s">
        <v>4</v>
      </c>
      <c r="D50" s="9" t="s">
        <v>21</v>
      </c>
      <c r="E50" s="9" t="s">
        <v>35</v>
      </c>
      <c r="F50" s="9" t="s">
        <v>28</v>
      </c>
      <c r="G50" s="9">
        <v>865</v>
      </c>
      <c r="H50" s="10">
        <v>3458.58</v>
      </c>
      <c r="N50" s="11">
        <v>865</v>
      </c>
      <c r="O50" s="12">
        <v>3458.58</v>
      </c>
    </row>
    <row r="51" spans="2:15" x14ac:dyDescent="0.2">
      <c r="B51" s="8">
        <v>38441.291351740379</v>
      </c>
      <c r="C51" s="9" t="s">
        <v>0</v>
      </c>
      <c r="D51" s="9" t="s">
        <v>24</v>
      </c>
      <c r="E51" s="9" t="s">
        <v>35</v>
      </c>
      <c r="F51" s="9" t="s">
        <v>41</v>
      </c>
      <c r="G51" s="9">
        <v>345</v>
      </c>
      <c r="H51" s="10">
        <v>1018.55</v>
      </c>
      <c r="N51" s="11">
        <v>345</v>
      </c>
      <c r="O51" s="12">
        <v>1018.55</v>
      </c>
    </row>
    <row r="52" spans="2:15" x14ac:dyDescent="0.2">
      <c r="B52" s="8">
        <v>38456.637867283607</v>
      </c>
      <c r="C52" s="9" t="s">
        <v>37</v>
      </c>
      <c r="D52" s="9" t="s">
        <v>10</v>
      </c>
      <c r="E52" s="9" t="s">
        <v>35</v>
      </c>
      <c r="F52" s="9" t="s">
        <v>41</v>
      </c>
      <c r="G52" s="9">
        <v>410</v>
      </c>
      <c r="H52" s="10">
        <v>1281.69</v>
      </c>
      <c r="N52" s="11">
        <v>410</v>
      </c>
      <c r="O52" s="12">
        <v>1281.69</v>
      </c>
    </row>
    <row r="53" spans="2:15" x14ac:dyDescent="0.2">
      <c r="B53" s="8">
        <v>38459.684477900068</v>
      </c>
      <c r="C53" s="9" t="s">
        <v>0</v>
      </c>
      <c r="D53" s="9" t="s">
        <v>8</v>
      </c>
      <c r="E53" s="9" t="s">
        <v>35</v>
      </c>
      <c r="F53" s="9" t="s">
        <v>41</v>
      </c>
      <c r="G53" s="9">
        <v>400</v>
      </c>
      <c r="H53" s="10">
        <v>1240.73</v>
      </c>
      <c r="N53" s="11">
        <v>400</v>
      </c>
      <c r="O53" s="12">
        <v>1240.73</v>
      </c>
    </row>
    <row r="54" spans="2:15" x14ac:dyDescent="0.2">
      <c r="B54" s="8">
        <v>38463.129400394471</v>
      </c>
      <c r="C54" s="9" t="s">
        <v>3</v>
      </c>
      <c r="D54" s="9" t="s">
        <v>13</v>
      </c>
      <c r="E54" s="9" t="s">
        <v>35</v>
      </c>
      <c r="F54" s="9" t="s">
        <v>41</v>
      </c>
      <c r="G54" s="9">
        <v>225</v>
      </c>
      <c r="H54" s="10">
        <v>608.01</v>
      </c>
      <c r="N54" s="11">
        <v>225</v>
      </c>
      <c r="O54" s="12">
        <v>608.01</v>
      </c>
    </row>
    <row r="55" spans="2:15" x14ac:dyDescent="0.2">
      <c r="B55" s="8">
        <v>38469.069535271912</v>
      </c>
      <c r="C55" s="9" t="s">
        <v>36</v>
      </c>
      <c r="D55" s="9" t="s">
        <v>20</v>
      </c>
      <c r="E55" s="9" t="s">
        <v>35</v>
      </c>
      <c r="F55" s="9" t="s">
        <v>41</v>
      </c>
      <c r="G55" s="9">
        <v>100</v>
      </c>
      <c r="H55" s="10">
        <v>296.98</v>
      </c>
      <c r="N55" s="11">
        <v>100</v>
      </c>
      <c r="O55" s="12">
        <v>296.98</v>
      </c>
    </row>
    <row r="56" spans="2:15" x14ac:dyDescent="0.2">
      <c r="B56" s="8">
        <v>38480.543916573995</v>
      </c>
      <c r="C56" s="9" t="s">
        <v>37</v>
      </c>
      <c r="D56" s="9" t="s">
        <v>5</v>
      </c>
      <c r="E56" s="9" t="s">
        <v>35</v>
      </c>
      <c r="F56" s="9" t="s">
        <v>41</v>
      </c>
      <c r="G56" s="9">
        <v>30</v>
      </c>
      <c r="H56" s="10">
        <v>82.55</v>
      </c>
      <c r="N56" s="11">
        <v>30</v>
      </c>
      <c r="O56" s="12">
        <v>82.55</v>
      </c>
    </row>
    <row r="57" spans="2:15" x14ac:dyDescent="0.2">
      <c r="B57" s="8">
        <v>38480.761509026626</v>
      </c>
      <c r="C57" s="9" t="s">
        <v>0</v>
      </c>
      <c r="D57" s="9" t="s">
        <v>19</v>
      </c>
      <c r="E57" s="9" t="s">
        <v>35</v>
      </c>
      <c r="F57" s="9" t="s">
        <v>41</v>
      </c>
      <c r="G57" s="9">
        <v>150</v>
      </c>
      <c r="H57" s="10">
        <v>451.46</v>
      </c>
      <c r="N57" s="11">
        <v>150</v>
      </c>
      <c r="O57" s="12">
        <v>451.46</v>
      </c>
    </row>
    <row r="58" spans="2:15" x14ac:dyDescent="0.2">
      <c r="B58" s="8">
        <v>38482.165969635884</v>
      </c>
      <c r="C58" s="9" t="s">
        <v>1</v>
      </c>
      <c r="D58" s="9" t="s">
        <v>13</v>
      </c>
      <c r="E58" s="9" t="s">
        <v>35</v>
      </c>
      <c r="F58" s="9" t="s">
        <v>41</v>
      </c>
      <c r="G58" s="9">
        <v>465</v>
      </c>
      <c r="H58" s="10">
        <v>1361.65</v>
      </c>
      <c r="N58" s="11">
        <v>465</v>
      </c>
      <c r="O58" s="12">
        <v>1361.65</v>
      </c>
    </row>
    <row r="59" spans="2:15" x14ac:dyDescent="0.2">
      <c r="B59" s="8">
        <v>38493.449819933288</v>
      </c>
      <c r="C59" s="9" t="s">
        <v>36</v>
      </c>
      <c r="D59" s="9" t="s">
        <v>19</v>
      </c>
      <c r="E59" s="9" t="s">
        <v>35</v>
      </c>
      <c r="F59" s="9" t="s">
        <v>41</v>
      </c>
      <c r="G59" s="9">
        <v>440</v>
      </c>
      <c r="H59" s="10">
        <v>1362.85</v>
      </c>
      <c r="N59" s="11">
        <v>440</v>
      </c>
      <c r="O59" s="12">
        <v>1362.85</v>
      </c>
    </row>
    <row r="60" spans="2:15" x14ac:dyDescent="0.2">
      <c r="B60" s="8">
        <v>38428.399614839051</v>
      </c>
      <c r="C60" s="9" t="s">
        <v>2</v>
      </c>
      <c r="D60" s="9" t="s">
        <v>14</v>
      </c>
      <c r="E60" s="9" t="s">
        <v>35</v>
      </c>
      <c r="F60" s="9" t="s">
        <v>27</v>
      </c>
      <c r="G60" s="9">
        <v>205</v>
      </c>
      <c r="H60" s="10">
        <v>607.35</v>
      </c>
      <c r="N60" s="11">
        <v>205</v>
      </c>
      <c r="O60" s="12">
        <v>607.35</v>
      </c>
    </row>
    <row r="61" spans="2:15" x14ac:dyDescent="0.2">
      <c r="B61" s="8">
        <v>38445.461845642472</v>
      </c>
      <c r="C61" s="9" t="s">
        <v>3</v>
      </c>
      <c r="D61" s="9" t="s">
        <v>6</v>
      </c>
      <c r="E61" s="9" t="s">
        <v>35</v>
      </c>
      <c r="F61" s="9" t="s">
        <v>27</v>
      </c>
      <c r="G61" s="9">
        <v>80</v>
      </c>
      <c r="H61" s="10">
        <v>236.11</v>
      </c>
      <c r="N61" s="11">
        <v>80</v>
      </c>
      <c r="O61" s="12">
        <v>236.11</v>
      </c>
    </row>
    <row r="62" spans="2:15" x14ac:dyDescent="0.2">
      <c r="B62" s="8">
        <v>38479.478873188535</v>
      </c>
      <c r="C62" s="9" t="s">
        <v>2</v>
      </c>
      <c r="D62" s="9" t="s">
        <v>22</v>
      </c>
      <c r="E62" s="9" t="s">
        <v>35</v>
      </c>
      <c r="F62" s="9" t="s">
        <v>27</v>
      </c>
      <c r="G62" s="9">
        <v>90</v>
      </c>
      <c r="H62" s="10">
        <v>269.55</v>
      </c>
      <c r="N62" s="11">
        <v>90</v>
      </c>
      <c r="O62" s="12">
        <v>269.55</v>
      </c>
    </row>
    <row r="63" spans="2:15" x14ac:dyDescent="0.2">
      <c r="B63" s="8">
        <v>38487.402026380434</v>
      </c>
      <c r="C63" s="9" t="s">
        <v>0</v>
      </c>
      <c r="D63" s="9" t="s">
        <v>14</v>
      </c>
      <c r="E63" s="9" t="s">
        <v>35</v>
      </c>
      <c r="F63" s="9" t="s">
        <v>27</v>
      </c>
      <c r="G63" s="9">
        <v>965</v>
      </c>
      <c r="H63" s="10">
        <v>3071.28</v>
      </c>
      <c r="N63" s="11">
        <v>965</v>
      </c>
      <c r="O63" s="12">
        <v>3071.28</v>
      </c>
    </row>
    <row r="64" spans="2:15" x14ac:dyDescent="0.2">
      <c r="B64" s="8">
        <v>38504.921763153936</v>
      </c>
      <c r="C64" s="9" t="s">
        <v>3</v>
      </c>
      <c r="D64" s="9" t="s">
        <v>16</v>
      </c>
      <c r="E64" s="9" t="s">
        <v>35</v>
      </c>
      <c r="F64" s="9" t="s">
        <v>27</v>
      </c>
      <c r="G64" s="9">
        <v>760</v>
      </c>
      <c r="H64" s="10">
        <v>2227.0300000000002</v>
      </c>
      <c r="N64" s="11">
        <v>760</v>
      </c>
      <c r="O64" s="12">
        <v>2227.0300000000002</v>
      </c>
    </row>
    <row r="65" spans="2:15" x14ac:dyDescent="0.2">
      <c r="B65" s="8">
        <v>38506</v>
      </c>
      <c r="C65" s="9" t="s">
        <v>36</v>
      </c>
      <c r="D65" s="9" t="s">
        <v>17</v>
      </c>
      <c r="E65" s="9" t="s">
        <v>35</v>
      </c>
      <c r="F65" s="9" t="s">
        <v>27</v>
      </c>
      <c r="G65" s="9">
        <v>265</v>
      </c>
      <c r="H65" s="10">
        <v>713.51</v>
      </c>
      <c r="N65" s="11">
        <v>265</v>
      </c>
      <c r="O65" s="12">
        <v>713.51</v>
      </c>
    </row>
    <row r="66" spans="2:15" x14ac:dyDescent="0.2">
      <c r="B66" s="8">
        <v>38507.437945037615</v>
      </c>
      <c r="C66" s="9" t="s">
        <v>3</v>
      </c>
      <c r="D66" s="9" t="s">
        <v>14</v>
      </c>
      <c r="E66" s="9" t="s">
        <v>35</v>
      </c>
      <c r="F66" s="9" t="s">
        <v>27</v>
      </c>
      <c r="G66" s="9">
        <v>5</v>
      </c>
      <c r="H66" s="10">
        <v>14.27</v>
      </c>
      <c r="N66" s="11">
        <v>5</v>
      </c>
      <c r="O66" s="12">
        <v>14.27</v>
      </c>
    </row>
    <row r="67" spans="2:15" x14ac:dyDescent="0.2">
      <c r="B67" s="8">
        <v>38511.173373044294</v>
      </c>
      <c r="C67" s="9" t="s">
        <v>4</v>
      </c>
      <c r="D67" s="9" t="s">
        <v>8</v>
      </c>
      <c r="E67" s="9" t="s">
        <v>35</v>
      </c>
      <c r="F67" s="9" t="s">
        <v>27</v>
      </c>
      <c r="G67" s="9">
        <v>975</v>
      </c>
      <c r="H67" s="10">
        <v>4726.1400000000003</v>
      </c>
      <c r="N67" s="11">
        <v>975</v>
      </c>
      <c r="O67" s="12">
        <v>4726.1400000000003</v>
      </c>
    </row>
    <row r="68" spans="2:15" x14ac:dyDescent="0.2">
      <c r="B68" s="8">
        <v>38512.849285173863</v>
      </c>
      <c r="C68" s="9" t="s">
        <v>2</v>
      </c>
      <c r="D68" s="9" t="s">
        <v>5</v>
      </c>
      <c r="E68" s="9" t="s">
        <v>35</v>
      </c>
      <c r="F68" s="9" t="s">
        <v>27</v>
      </c>
      <c r="G68" s="9">
        <v>450</v>
      </c>
      <c r="H68" s="10">
        <v>1645.9</v>
      </c>
      <c r="N68" s="11">
        <v>450</v>
      </c>
      <c r="O68" s="12">
        <v>1645.9</v>
      </c>
    </row>
    <row r="69" spans="2:15" x14ac:dyDescent="0.2">
      <c r="B69" s="8">
        <v>38525.039266755477</v>
      </c>
      <c r="C69" s="9" t="s">
        <v>0</v>
      </c>
      <c r="D69" s="9" t="s">
        <v>14</v>
      </c>
      <c r="E69" s="9" t="s">
        <v>35</v>
      </c>
      <c r="F69" s="9" t="s">
        <v>27</v>
      </c>
      <c r="G69" s="9">
        <v>320</v>
      </c>
      <c r="H69" s="10">
        <v>1024.32</v>
      </c>
      <c r="N69" s="11">
        <v>320</v>
      </c>
      <c r="O69" s="12">
        <v>1024.32</v>
      </c>
    </row>
    <row r="70" spans="2:15" x14ac:dyDescent="0.2">
      <c r="B70" s="8">
        <v>38531.601720489569</v>
      </c>
      <c r="C70" s="9" t="s">
        <v>2</v>
      </c>
      <c r="D70" s="9" t="s">
        <v>14</v>
      </c>
      <c r="E70" s="9" t="s">
        <v>35</v>
      </c>
      <c r="F70" s="9" t="s">
        <v>27</v>
      </c>
      <c r="G70" s="9">
        <v>465</v>
      </c>
      <c r="H70" s="10">
        <v>1668.93</v>
      </c>
      <c r="N70" s="11">
        <v>465</v>
      </c>
      <c r="O70" s="12">
        <v>1668.93</v>
      </c>
    </row>
    <row r="71" spans="2:15" x14ac:dyDescent="0.2">
      <c r="B71" s="8">
        <v>38544.512992020369</v>
      </c>
      <c r="C71" s="9" t="s">
        <v>4</v>
      </c>
      <c r="D71" s="9" t="s">
        <v>5</v>
      </c>
      <c r="E71" s="9" t="s">
        <v>35</v>
      </c>
      <c r="F71" s="9" t="s">
        <v>27</v>
      </c>
      <c r="G71" s="9">
        <v>285</v>
      </c>
      <c r="H71" s="10">
        <v>2074.8200000000002</v>
      </c>
      <c r="N71" s="11">
        <v>285</v>
      </c>
      <c r="O71" s="12">
        <v>2074.8200000000002</v>
      </c>
    </row>
    <row r="72" spans="2:15" x14ac:dyDescent="0.2">
      <c r="B72" s="8">
        <v>38580.917041127235</v>
      </c>
      <c r="C72" s="9" t="s">
        <v>37</v>
      </c>
      <c r="D72" s="9" t="s">
        <v>20</v>
      </c>
      <c r="E72" s="9" t="s">
        <v>35</v>
      </c>
      <c r="F72" s="9" t="s">
        <v>27</v>
      </c>
      <c r="G72" s="9">
        <v>370</v>
      </c>
      <c r="H72" s="10">
        <v>2415.9299999999998</v>
      </c>
      <c r="N72" s="11">
        <v>370</v>
      </c>
      <c r="O72" s="12">
        <v>2415.9299999999998</v>
      </c>
    </row>
    <row r="73" spans="2:15" x14ac:dyDescent="0.2">
      <c r="B73" s="8">
        <v>38464.789142804395</v>
      </c>
      <c r="C73" s="9" t="s">
        <v>2</v>
      </c>
      <c r="D73" s="9" t="s">
        <v>19</v>
      </c>
      <c r="E73" s="9" t="s">
        <v>35</v>
      </c>
      <c r="F73" s="9" t="s">
        <v>38</v>
      </c>
      <c r="G73" s="9">
        <v>895</v>
      </c>
      <c r="H73" s="10">
        <v>6037.4</v>
      </c>
      <c r="N73" s="11">
        <v>895</v>
      </c>
      <c r="O73" s="12">
        <v>6037.4</v>
      </c>
    </row>
    <row r="74" spans="2:15" x14ac:dyDescent="0.2">
      <c r="B74" s="8">
        <v>38477.318778297471</v>
      </c>
      <c r="C74" s="9" t="s">
        <v>1</v>
      </c>
      <c r="D74" s="9" t="s">
        <v>10</v>
      </c>
      <c r="E74" s="9" t="s">
        <v>35</v>
      </c>
      <c r="F74" s="9" t="s">
        <v>38</v>
      </c>
      <c r="G74" s="9">
        <v>345</v>
      </c>
      <c r="H74" s="10">
        <v>2279.08</v>
      </c>
      <c r="N74" s="11">
        <v>345</v>
      </c>
      <c r="O74" s="12">
        <v>2279.08</v>
      </c>
    </row>
    <row r="75" spans="2:15" x14ac:dyDescent="0.2">
      <c r="B75" s="8">
        <v>38482.401739053319</v>
      </c>
      <c r="C75" s="9" t="s">
        <v>0</v>
      </c>
      <c r="D75" s="9" t="s">
        <v>6</v>
      </c>
      <c r="E75" s="9" t="s">
        <v>35</v>
      </c>
      <c r="F75" s="9" t="s">
        <v>38</v>
      </c>
      <c r="G75" s="9">
        <v>690</v>
      </c>
      <c r="H75" s="10">
        <v>4793.51</v>
      </c>
      <c r="N75" s="11">
        <v>690</v>
      </c>
      <c r="O75" s="12">
        <v>4793.51</v>
      </c>
    </row>
    <row r="76" spans="2:15" x14ac:dyDescent="0.2">
      <c r="B76" s="8">
        <v>38482.844881140394</v>
      </c>
      <c r="C76" s="9" t="s">
        <v>37</v>
      </c>
      <c r="D76" s="9" t="s">
        <v>11</v>
      </c>
      <c r="E76" s="9" t="s">
        <v>35</v>
      </c>
      <c r="F76" s="9" t="s">
        <v>38</v>
      </c>
      <c r="G76" s="9">
        <v>485</v>
      </c>
      <c r="H76" s="10">
        <v>3271.49</v>
      </c>
      <c r="N76" s="11">
        <v>485</v>
      </c>
      <c r="O76" s="12">
        <v>3271.49</v>
      </c>
    </row>
    <row r="77" spans="2:15" x14ac:dyDescent="0.2">
      <c r="B77" s="8">
        <v>38490.812762553898</v>
      </c>
      <c r="C77" s="9" t="s">
        <v>36</v>
      </c>
      <c r="D77" s="9" t="s">
        <v>5</v>
      </c>
      <c r="E77" s="9" t="s">
        <v>35</v>
      </c>
      <c r="F77" s="9" t="s">
        <v>38</v>
      </c>
      <c r="G77" s="9">
        <v>760</v>
      </c>
      <c r="H77" s="10">
        <v>4758.62</v>
      </c>
      <c r="N77" s="11">
        <v>760</v>
      </c>
      <c r="O77" s="12">
        <v>4758.62</v>
      </c>
    </row>
    <row r="78" spans="2:15" x14ac:dyDescent="0.2">
      <c r="B78" s="8">
        <v>38501.335737105554</v>
      </c>
      <c r="C78" s="9" t="s">
        <v>36</v>
      </c>
      <c r="D78" s="9" t="s">
        <v>5</v>
      </c>
      <c r="E78" s="9" t="s">
        <v>35</v>
      </c>
      <c r="F78" s="9" t="s">
        <v>38</v>
      </c>
      <c r="G78" s="9">
        <v>145</v>
      </c>
      <c r="H78" s="10">
        <v>1045.1099999999999</v>
      </c>
      <c r="N78" s="11">
        <v>145</v>
      </c>
      <c r="O78" s="12">
        <v>1045.1099999999999</v>
      </c>
    </row>
    <row r="79" spans="2:15" x14ac:dyDescent="0.2">
      <c r="B79" s="8">
        <v>38407.489452039452</v>
      </c>
      <c r="C79" s="9" t="s">
        <v>37</v>
      </c>
      <c r="D79" s="9" t="s">
        <v>21</v>
      </c>
      <c r="E79" s="9" t="s">
        <v>26</v>
      </c>
      <c r="F79" s="9" t="s">
        <v>39</v>
      </c>
      <c r="G79" s="9">
        <v>250</v>
      </c>
      <c r="H79" s="10">
        <v>224.9</v>
      </c>
      <c r="N79" s="11">
        <v>250</v>
      </c>
      <c r="O79" s="12">
        <v>224.9</v>
      </c>
    </row>
    <row r="80" spans="2:15" x14ac:dyDescent="0.2">
      <c r="B80" s="8">
        <v>38418.613228464063</v>
      </c>
      <c r="C80" s="9" t="s">
        <v>3</v>
      </c>
      <c r="D80" s="9" t="s">
        <v>12</v>
      </c>
      <c r="E80" s="9" t="s">
        <v>26</v>
      </c>
      <c r="F80" s="9" t="s">
        <v>39</v>
      </c>
      <c r="G80" s="9">
        <v>560</v>
      </c>
      <c r="H80" s="10">
        <v>238.16</v>
      </c>
      <c r="N80" s="11">
        <v>560</v>
      </c>
      <c r="O80" s="12">
        <v>238.16</v>
      </c>
    </row>
    <row r="81" spans="2:15" x14ac:dyDescent="0.2">
      <c r="B81" s="8">
        <v>38436.582005767676</v>
      </c>
      <c r="C81" s="9" t="s">
        <v>3</v>
      </c>
      <c r="D81" s="9" t="s">
        <v>5</v>
      </c>
      <c r="E81" s="9" t="s">
        <v>26</v>
      </c>
      <c r="F81" s="9" t="s">
        <v>39</v>
      </c>
      <c r="G81" s="9">
        <v>785</v>
      </c>
      <c r="H81" s="10">
        <v>315.67</v>
      </c>
      <c r="N81" s="11">
        <v>785</v>
      </c>
      <c r="O81" s="12">
        <v>315.67</v>
      </c>
    </row>
    <row r="82" spans="2:15" x14ac:dyDescent="0.2">
      <c r="B82" s="8">
        <v>38450.792966549452</v>
      </c>
      <c r="C82" s="9" t="s">
        <v>3</v>
      </c>
      <c r="D82" s="9" t="s">
        <v>10</v>
      </c>
      <c r="E82" s="9" t="s">
        <v>26</v>
      </c>
      <c r="F82" s="9" t="s">
        <v>39</v>
      </c>
      <c r="G82" s="9">
        <v>760</v>
      </c>
      <c r="H82" s="10">
        <v>305.92</v>
      </c>
      <c r="N82" s="11">
        <v>760</v>
      </c>
      <c r="O82" s="12">
        <v>305.92</v>
      </c>
    </row>
    <row r="83" spans="2:15" x14ac:dyDescent="0.2">
      <c r="B83" s="8">
        <v>38467.558501326203</v>
      </c>
      <c r="C83" s="9" t="s">
        <v>3</v>
      </c>
      <c r="D83" s="9" t="s">
        <v>6</v>
      </c>
      <c r="E83" s="9" t="s">
        <v>26</v>
      </c>
      <c r="F83" s="9" t="s">
        <v>39</v>
      </c>
      <c r="G83" s="9">
        <v>790</v>
      </c>
      <c r="H83" s="10">
        <v>326.39</v>
      </c>
      <c r="N83" s="11">
        <v>790</v>
      </c>
      <c r="O83" s="12">
        <v>326.39</v>
      </c>
    </row>
    <row r="84" spans="2:15" x14ac:dyDescent="0.2">
      <c r="B84" s="8">
        <v>38468.927348434685</v>
      </c>
      <c r="C84" s="9" t="s">
        <v>3</v>
      </c>
      <c r="D84" s="9" t="s">
        <v>12</v>
      </c>
      <c r="E84" s="9" t="s">
        <v>26</v>
      </c>
      <c r="F84" s="9" t="s">
        <v>39</v>
      </c>
      <c r="G84" s="9">
        <v>440</v>
      </c>
      <c r="H84" s="10">
        <v>174.53</v>
      </c>
      <c r="N84" s="11">
        <v>440</v>
      </c>
      <c r="O84" s="12">
        <v>174.53</v>
      </c>
    </row>
    <row r="85" spans="2:15" x14ac:dyDescent="0.2">
      <c r="B85" s="8">
        <v>38469.664696216343</v>
      </c>
      <c r="C85" s="9" t="s">
        <v>2</v>
      </c>
      <c r="D85" s="9" t="s">
        <v>21</v>
      </c>
      <c r="E85" s="9" t="s">
        <v>26</v>
      </c>
      <c r="F85" s="9" t="s">
        <v>39</v>
      </c>
      <c r="G85" s="9">
        <v>200</v>
      </c>
      <c r="H85" s="10">
        <v>86.87</v>
      </c>
      <c r="N85" s="11">
        <v>200</v>
      </c>
      <c r="O85" s="12">
        <v>86.87</v>
      </c>
    </row>
    <row r="86" spans="2:15" x14ac:dyDescent="0.2">
      <c r="B86" s="8">
        <v>38473.458289872578</v>
      </c>
      <c r="C86" s="9" t="s">
        <v>2</v>
      </c>
      <c r="D86" s="9" t="s">
        <v>7</v>
      </c>
      <c r="E86" s="9" t="s">
        <v>26</v>
      </c>
      <c r="F86" s="9" t="s">
        <v>39</v>
      </c>
      <c r="G86" s="9">
        <v>465</v>
      </c>
      <c r="H86" s="10">
        <v>178.37</v>
      </c>
      <c r="N86" s="11">
        <v>465</v>
      </c>
      <c r="O86" s="12">
        <v>178.37</v>
      </c>
    </row>
    <row r="87" spans="2:15" x14ac:dyDescent="0.2">
      <c r="B87" s="8">
        <v>38489.026619189033</v>
      </c>
      <c r="C87" s="9" t="s">
        <v>37</v>
      </c>
      <c r="D87" s="9" t="s">
        <v>5</v>
      </c>
      <c r="E87" s="9" t="s">
        <v>26</v>
      </c>
      <c r="F87" s="9" t="s">
        <v>39</v>
      </c>
      <c r="G87" s="9">
        <v>410</v>
      </c>
      <c r="H87" s="10">
        <v>402.73</v>
      </c>
      <c r="N87" s="11">
        <v>410</v>
      </c>
      <c r="O87" s="12">
        <v>402.73</v>
      </c>
    </row>
    <row r="88" spans="2:15" x14ac:dyDescent="0.2">
      <c r="B88" s="8">
        <v>38492.036094885443</v>
      </c>
      <c r="C88" s="9" t="s">
        <v>3</v>
      </c>
      <c r="D88" s="9" t="s">
        <v>7</v>
      </c>
      <c r="E88" s="9" t="s">
        <v>26</v>
      </c>
      <c r="F88" s="9" t="s">
        <v>39</v>
      </c>
      <c r="G88" s="9">
        <v>465</v>
      </c>
      <c r="H88" s="10">
        <v>206.68</v>
      </c>
      <c r="N88" s="11">
        <v>465</v>
      </c>
      <c r="O88" s="12">
        <v>206.68</v>
      </c>
    </row>
    <row r="89" spans="2:15" x14ac:dyDescent="0.2">
      <c r="B89" s="8">
        <v>38496.79021225535</v>
      </c>
      <c r="C89" s="9" t="s">
        <v>36</v>
      </c>
      <c r="D89" s="9" t="s">
        <v>17</v>
      </c>
      <c r="E89" s="9" t="s">
        <v>26</v>
      </c>
      <c r="F89" s="9" t="s">
        <v>39</v>
      </c>
      <c r="G89" s="9">
        <v>715</v>
      </c>
      <c r="H89" s="10">
        <v>278.92</v>
      </c>
      <c r="N89" s="11">
        <v>715</v>
      </c>
      <c r="O89" s="12">
        <v>278.92</v>
      </c>
    </row>
    <row r="90" spans="2:15" x14ac:dyDescent="0.2">
      <c r="B90" s="8">
        <v>38498.584276927933</v>
      </c>
      <c r="C90" s="9" t="s">
        <v>2</v>
      </c>
      <c r="D90" s="9" t="s">
        <v>22</v>
      </c>
      <c r="E90" s="9" t="s">
        <v>26</v>
      </c>
      <c r="F90" s="9" t="s">
        <v>39</v>
      </c>
      <c r="G90" s="9">
        <v>185</v>
      </c>
      <c r="H90" s="10">
        <v>242.85</v>
      </c>
      <c r="N90" s="11">
        <v>185</v>
      </c>
      <c r="O90" s="12">
        <v>242.85</v>
      </c>
    </row>
    <row r="91" spans="2:15" x14ac:dyDescent="0.2">
      <c r="B91" s="8">
        <v>38502.501469305447</v>
      </c>
      <c r="C91" s="9" t="s">
        <v>36</v>
      </c>
      <c r="D91" s="9" t="s">
        <v>20</v>
      </c>
      <c r="E91" s="9" t="s">
        <v>26</v>
      </c>
      <c r="F91" s="9" t="s">
        <v>39</v>
      </c>
      <c r="G91" s="9">
        <v>985</v>
      </c>
      <c r="H91" s="10">
        <v>399.81</v>
      </c>
      <c r="N91" s="11">
        <v>985</v>
      </c>
      <c r="O91" s="12">
        <v>399.81</v>
      </c>
    </row>
    <row r="92" spans="2:15" x14ac:dyDescent="0.2">
      <c r="B92" s="8">
        <v>38507.173857865411</v>
      </c>
      <c r="C92" s="9" t="s">
        <v>36</v>
      </c>
      <c r="D92" s="9" t="s">
        <v>11</v>
      </c>
      <c r="E92" s="9" t="s">
        <v>26</v>
      </c>
      <c r="F92" s="9" t="s">
        <v>39</v>
      </c>
      <c r="G92" s="9">
        <v>610</v>
      </c>
      <c r="H92" s="10">
        <v>251.07</v>
      </c>
      <c r="N92" s="11">
        <v>610</v>
      </c>
      <c r="O92" s="12">
        <v>251.07</v>
      </c>
    </row>
    <row r="93" spans="2:15" x14ac:dyDescent="0.2">
      <c r="B93" s="8">
        <v>38509.904475907511</v>
      </c>
      <c r="C93" s="9" t="s">
        <v>1</v>
      </c>
      <c r="D93" s="9" t="s">
        <v>5</v>
      </c>
      <c r="E93" s="9" t="s">
        <v>26</v>
      </c>
      <c r="F93" s="9" t="s">
        <v>39</v>
      </c>
      <c r="G93" s="9">
        <v>380</v>
      </c>
      <c r="H93" s="10">
        <v>397.93</v>
      </c>
      <c r="N93" s="11">
        <v>380</v>
      </c>
      <c r="O93" s="12">
        <v>397.93</v>
      </c>
    </row>
    <row r="94" spans="2:15" x14ac:dyDescent="0.2">
      <c r="B94" s="8">
        <v>38510.898036174745</v>
      </c>
      <c r="C94" s="9" t="s">
        <v>0</v>
      </c>
      <c r="D94" s="9" t="s">
        <v>21</v>
      </c>
      <c r="E94" s="9" t="s">
        <v>26</v>
      </c>
      <c r="F94" s="9" t="s">
        <v>39</v>
      </c>
      <c r="G94" s="9">
        <v>770</v>
      </c>
      <c r="H94" s="10">
        <v>775.45</v>
      </c>
      <c r="N94" s="11">
        <v>770</v>
      </c>
      <c r="O94" s="12">
        <v>775.45</v>
      </c>
    </row>
    <row r="95" spans="2:15" x14ac:dyDescent="0.2">
      <c r="B95" s="8">
        <v>38513.736175646693</v>
      </c>
      <c r="C95" s="9" t="s">
        <v>3</v>
      </c>
      <c r="D95" s="9" t="s">
        <v>10</v>
      </c>
      <c r="E95" s="9" t="s">
        <v>26</v>
      </c>
      <c r="F95" s="9" t="s">
        <v>39</v>
      </c>
      <c r="G95" s="9">
        <v>340</v>
      </c>
      <c r="H95" s="10">
        <v>1024.6500000000001</v>
      </c>
      <c r="N95" s="11">
        <v>340</v>
      </c>
      <c r="O95" s="12">
        <v>1024.6500000000001</v>
      </c>
    </row>
    <row r="96" spans="2:15" x14ac:dyDescent="0.2">
      <c r="B96" s="8">
        <v>38516.513907942921</v>
      </c>
      <c r="C96" s="9" t="s">
        <v>1</v>
      </c>
      <c r="D96" s="9" t="s">
        <v>8</v>
      </c>
      <c r="E96" s="9" t="s">
        <v>26</v>
      </c>
      <c r="F96" s="9" t="s">
        <v>39</v>
      </c>
      <c r="G96" s="9">
        <v>35</v>
      </c>
      <c r="H96" s="10">
        <v>14.24</v>
      </c>
      <c r="N96" s="11">
        <v>35</v>
      </c>
      <c r="O96" s="12">
        <v>14.24</v>
      </c>
    </row>
    <row r="97" spans="2:15" x14ac:dyDescent="0.2">
      <c r="B97" s="8">
        <v>38517.692081036446</v>
      </c>
      <c r="C97" s="9" t="s">
        <v>0</v>
      </c>
      <c r="D97" s="9" t="s">
        <v>23</v>
      </c>
      <c r="E97" s="9" t="s">
        <v>26</v>
      </c>
      <c r="F97" s="9" t="s">
        <v>39</v>
      </c>
      <c r="G97" s="9">
        <v>580</v>
      </c>
      <c r="H97" s="10">
        <v>233.85</v>
      </c>
      <c r="N97" s="11">
        <v>580</v>
      </c>
      <c r="O97" s="12">
        <v>233.85</v>
      </c>
    </row>
    <row r="98" spans="2:15" x14ac:dyDescent="0.2">
      <c r="B98" s="8">
        <v>38524.74062358513</v>
      </c>
      <c r="C98" s="9" t="s">
        <v>36</v>
      </c>
      <c r="D98" s="9" t="s">
        <v>21</v>
      </c>
      <c r="E98" s="9" t="s">
        <v>26</v>
      </c>
      <c r="F98" s="9" t="s">
        <v>39</v>
      </c>
      <c r="G98" s="9">
        <v>300</v>
      </c>
      <c r="H98" s="10">
        <v>134.11000000000001</v>
      </c>
      <c r="N98" s="11">
        <v>300</v>
      </c>
      <c r="O98" s="12">
        <v>134.11000000000001</v>
      </c>
    </row>
    <row r="99" spans="2:15" x14ac:dyDescent="0.2">
      <c r="B99" s="8">
        <v>38527.667287913289</v>
      </c>
      <c r="C99" s="9" t="s">
        <v>4</v>
      </c>
      <c r="D99" s="9" t="s">
        <v>7</v>
      </c>
      <c r="E99" s="9" t="s">
        <v>26</v>
      </c>
      <c r="F99" s="9" t="s">
        <v>39</v>
      </c>
      <c r="G99" s="9">
        <v>245</v>
      </c>
      <c r="H99" s="10">
        <v>103.46</v>
      </c>
      <c r="N99" s="11">
        <v>245</v>
      </c>
      <c r="O99" s="12">
        <v>103.46</v>
      </c>
    </row>
    <row r="100" spans="2:15" x14ac:dyDescent="0.2">
      <c r="B100" s="8">
        <v>38535.186031128367</v>
      </c>
      <c r="C100" s="9" t="s">
        <v>2</v>
      </c>
      <c r="D100" s="9" t="s">
        <v>21</v>
      </c>
      <c r="E100" s="9" t="s">
        <v>26</v>
      </c>
      <c r="F100" s="9" t="s">
        <v>39</v>
      </c>
      <c r="G100" s="9">
        <v>220</v>
      </c>
      <c r="H100" s="10">
        <v>451.35</v>
      </c>
      <c r="N100" s="11">
        <v>220</v>
      </c>
      <c r="O100" s="12">
        <v>451.35</v>
      </c>
    </row>
    <row r="101" spans="2:15" x14ac:dyDescent="0.2">
      <c r="B101" s="8">
        <v>38537.639312627383</v>
      </c>
      <c r="C101" s="9" t="s">
        <v>1</v>
      </c>
      <c r="D101" s="9" t="s">
        <v>6</v>
      </c>
      <c r="E101" s="9" t="s">
        <v>26</v>
      </c>
      <c r="F101" s="9" t="s">
        <v>39</v>
      </c>
      <c r="G101" s="9">
        <v>165</v>
      </c>
      <c r="H101" s="10">
        <v>361.75</v>
      </c>
      <c r="N101" s="11">
        <v>165</v>
      </c>
      <c r="O101" s="12">
        <v>361.75</v>
      </c>
    </row>
    <row r="102" spans="2:15" x14ac:dyDescent="0.2">
      <c r="B102" s="8">
        <v>38546.067788723485</v>
      </c>
      <c r="C102" s="9" t="s">
        <v>4</v>
      </c>
      <c r="D102" s="9" t="s">
        <v>23</v>
      </c>
      <c r="E102" s="9" t="s">
        <v>26</v>
      </c>
      <c r="F102" s="9" t="s">
        <v>39</v>
      </c>
      <c r="G102" s="9">
        <v>925</v>
      </c>
      <c r="H102" s="10">
        <v>1077.5</v>
      </c>
      <c r="N102" s="11">
        <v>925</v>
      </c>
      <c r="O102" s="12">
        <v>1077.5</v>
      </c>
    </row>
    <row r="103" spans="2:15" x14ac:dyDescent="0.2">
      <c r="B103" s="8">
        <v>38546.249972655671</v>
      </c>
      <c r="C103" s="9" t="s">
        <v>3</v>
      </c>
      <c r="D103" s="9" t="s">
        <v>7</v>
      </c>
      <c r="E103" s="9" t="s">
        <v>26</v>
      </c>
      <c r="F103" s="9" t="s">
        <v>39</v>
      </c>
      <c r="G103" s="9">
        <v>610</v>
      </c>
      <c r="H103" s="10">
        <v>1083.82</v>
      </c>
      <c r="N103" s="11">
        <v>610</v>
      </c>
      <c r="O103" s="12">
        <v>1083.82</v>
      </c>
    </row>
    <row r="104" spans="2:15" x14ac:dyDescent="0.2">
      <c r="B104" s="8">
        <v>38577.741961761159</v>
      </c>
      <c r="C104" s="9" t="s">
        <v>4</v>
      </c>
      <c r="D104" s="9" t="s">
        <v>21</v>
      </c>
      <c r="E104" s="9" t="s">
        <v>26</v>
      </c>
      <c r="F104" s="9" t="s">
        <v>39</v>
      </c>
      <c r="G104" s="9">
        <v>950</v>
      </c>
      <c r="H104" s="10">
        <v>4553.46</v>
      </c>
      <c r="N104" s="11">
        <v>950</v>
      </c>
      <c r="O104" s="12">
        <v>4553.46</v>
      </c>
    </row>
    <row r="105" spans="2:15" x14ac:dyDescent="0.2">
      <c r="B105" s="8">
        <v>38585.12882853442</v>
      </c>
      <c r="C105" s="9" t="s">
        <v>37</v>
      </c>
      <c r="D105" s="9" t="s">
        <v>15</v>
      </c>
      <c r="E105" s="9" t="s">
        <v>26</v>
      </c>
      <c r="F105" s="9" t="s">
        <v>39</v>
      </c>
      <c r="G105" s="9">
        <v>150</v>
      </c>
      <c r="H105" s="10">
        <v>66.41</v>
      </c>
      <c r="N105" s="11">
        <v>150</v>
      </c>
      <c r="O105" s="12">
        <v>66.41</v>
      </c>
    </row>
    <row r="106" spans="2:15" x14ac:dyDescent="0.2">
      <c r="B106" s="8">
        <v>38431.715004332691</v>
      </c>
      <c r="C106" s="9" t="s">
        <v>36</v>
      </c>
      <c r="D106" s="9" t="s">
        <v>21</v>
      </c>
      <c r="E106" s="9" t="s">
        <v>26</v>
      </c>
      <c r="F106" s="9" t="s">
        <v>43</v>
      </c>
      <c r="G106" s="9">
        <v>195</v>
      </c>
      <c r="H106" s="10">
        <v>672.76</v>
      </c>
      <c r="N106" s="11">
        <v>195</v>
      </c>
      <c r="O106" s="12">
        <v>672.76</v>
      </c>
    </row>
    <row r="107" spans="2:15" x14ac:dyDescent="0.2">
      <c r="B107" s="8">
        <v>38432.393676598287</v>
      </c>
      <c r="C107" s="9" t="s">
        <v>0</v>
      </c>
      <c r="D107" s="9" t="s">
        <v>24</v>
      </c>
      <c r="E107" s="9" t="s">
        <v>26</v>
      </c>
      <c r="F107" s="9" t="s">
        <v>43</v>
      </c>
      <c r="G107" s="9">
        <v>780</v>
      </c>
      <c r="H107" s="10">
        <v>1639.93</v>
      </c>
      <c r="N107" s="11">
        <v>780</v>
      </c>
      <c r="O107" s="12">
        <v>1639.93</v>
      </c>
    </row>
    <row r="108" spans="2:15" x14ac:dyDescent="0.2">
      <c r="B108" s="8">
        <v>38444.675799187506</v>
      </c>
      <c r="C108" s="9" t="s">
        <v>37</v>
      </c>
      <c r="D108" s="9" t="s">
        <v>11</v>
      </c>
      <c r="E108" s="9" t="s">
        <v>26</v>
      </c>
      <c r="F108" s="9" t="s">
        <v>43</v>
      </c>
      <c r="G108" s="9">
        <v>320</v>
      </c>
      <c r="H108" s="10">
        <v>684.31</v>
      </c>
      <c r="N108" s="11">
        <v>320</v>
      </c>
      <c r="O108" s="12">
        <v>684.31</v>
      </c>
    </row>
    <row r="109" spans="2:15" x14ac:dyDescent="0.2">
      <c r="B109" s="8">
        <v>38455.390652645903</v>
      </c>
      <c r="C109" s="9" t="s">
        <v>0</v>
      </c>
      <c r="D109" s="9" t="s">
        <v>10</v>
      </c>
      <c r="E109" s="9" t="s">
        <v>26</v>
      </c>
      <c r="F109" s="9" t="s">
        <v>43</v>
      </c>
      <c r="G109" s="9">
        <v>720</v>
      </c>
      <c r="H109" s="10">
        <v>1507.07</v>
      </c>
      <c r="N109" s="11">
        <v>720</v>
      </c>
      <c r="O109" s="12">
        <v>1507.07</v>
      </c>
    </row>
    <row r="110" spans="2:15" x14ac:dyDescent="0.2">
      <c r="B110" s="8">
        <v>38456.360026124261</v>
      </c>
      <c r="C110" s="9" t="s">
        <v>1</v>
      </c>
      <c r="D110" s="9" t="s">
        <v>11</v>
      </c>
      <c r="E110" s="9" t="s">
        <v>26</v>
      </c>
      <c r="F110" s="9" t="s">
        <v>43</v>
      </c>
      <c r="G110" s="9">
        <v>890</v>
      </c>
      <c r="H110" s="10">
        <v>1992.82</v>
      </c>
      <c r="N110" s="11">
        <v>890</v>
      </c>
      <c r="O110" s="12">
        <v>1992.82</v>
      </c>
    </row>
    <row r="111" spans="2:15" x14ac:dyDescent="0.2">
      <c r="B111" s="8">
        <v>38471.583454599044</v>
      </c>
      <c r="C111" s="9" t="s">
        <v>37</v>
      </c>
      <c r="D111" s="9" t="s">
        <v>8</v>
      </c>
      <c r="E111" s="9" t="s">
        <v>26</v>
      </c>
      <c r="F111" s="9" t="s">
        <v>43</v>
      </c>
      <c r="G111" s="9">
        <v>960</v>
      </c>
      <c r="H111" s="10">
        <v>2058.7800000000002</v>
      </c>
      <c r="N111" s="11">
        <v>960</v>
      </c>
      <c r="O111" s="12">
        <v>2058.7800000000002</v>
      </c>
    </row>
    <row r="112" spans="2:15" x14ac:dyDescent="0.2">
      <c r="B112" s="8">
        <v>38474.462034175325</v>
      </c>
      <c r="C112" s="9" t="s">
        <v>2</v>
      </c>
      <c r="D112" s="9" t="s">
        <v>5</v>
      </c>
      <c r="E112" s="9" t="s">
        <v>26</v>
      </c>
      <c r="F112" s="9" t="s">
        <v>43</v>
      </c>
      <c r="G112" s="9">
        <v>15</v>
      </c>
      <c r="H112" s="10">
        <v>29.37</v>
      </c>
      <c r="N112" s="11">
        <v>15</v>
      </c>
      <c r="O112" s="12">
        <v>29.37</v>
      </c>
    </row>
    <row r="113" spans="2:15" x14ac:dyDescent="0.2">
      <c r="B113" s="8">
        <v>38476.262206253079</v>
      </c>
      <c r="C113" s="9" t="s">
        <v>36</v>
      </c>
      <c r="D113" s="9" t="s">
        <v>17</v>
      </c>
      <c r="E113" s="9" t="s">
        <v>26</v>
      </c>
      <c r="F113" s="9" t="s">
        <v>43</v>
      </c>
      <c r="G113" s="9">
        <v>785</v>
      </c>
      <c r="H113" s="10">
        <v>1725.17</v>
      </c>
      <c r="N113" s="11">
        <v>785</v>
      </c>
      <c r="O113" s="12">
        <v>1725.17</v>
      </c>
    </row>
    <row r="114" spans="2:15" x14ac:dyDescent="0.2">
      <c r="B114" s="8">
        <v>38487.806489773953</v>
      </c>
      <c r="C114" s="9" t="s">
        <v>3</v>
      </c>
      <c r="D114" s="9" t="s">
        <v>20</v>
      </c>
      <c r="E114" s="9" t="s">
        <v>26</v>
      </c>
      <c r="F114" s="9" t="s">
        <v>43</v>
      </c>
      <c r="G114" s="9">
        <v>685</v>
      </c>
      <c r="H114" s="10">
        <v>1364.1</v>
      </c>
      <c r="N114" s="11">
        <v>685</v>
      </c>
      <c r="O114" s="12">
        <v>1364.1</v>
      </c>
    </row>
    <row r="115" spans="2:15" x14ac:dyDescent="0.2">
      <c r="B115" s="8">
        <v>38488.087763839329</v>
      </c>
      <c r="C115" s="9" t="s">
        <v>1</v>
      </c>
      <c r="D115" s="9" t="s">
        <v>22</v>
      </c>
      <c r="E115" s="9" t="s">
        <v>26</v>
      </c>
      <c r="F115" s="9" t="s">
        <v>43</v>
      </c>
      <c r="G115" s="9">
        <v>875</v>
      </c>
      <c r="H115" s="10">
        <v>1938.65</v>
      </c>
      <c r="N115" s="11">
        <v>875</v>
      </c>
      <c r="O115" s="12">
        <v>1938.65</v>
      </c>
    </row>
    <row r="116" spans="2:15" x14ac:dyDescent="0.2">
      <c r="B116" s="8">
        <v>38493.917800438605</v>
      </c>
      <c r="C116" s="9" t="s">
        <v>3</v>
      </c>
      <c r="D116" s="9" t="s">
        <v>21</v>
      </c>
      <c r="E116" s="9" t="s">
        <v>26</v>
      </c>
      <c r="F116" s="9" t="s">
        <v>43</v>
      </c>
      <c r="G116" s="9">
        <v>735</v>
      </c>
      <c r="H116" s="10">
        <v>3409.87</v>
      </c>
      <c r="N116" s="11">
        <v>735</v>
      </c>
      <c r="O116" s="12">
        <v>3409.87</v>
      </c>
    </row>
    <row r="117" spans="2:15" x14ac:dyDescent="0.2">
      <c r="B117" s="8">
        <v>38498.800601855546</v>
      </c>
      <c r="C117" s="9" t="s">
        <v>36</v>
      </c>
      <c r="D117" s="9" t="s">
        <v>5</v>
      </c>
      <c r="E117" s="9" t="s">
        <v>26</v>
      </c>
      <c r="F117" s="9" t="s">
        <v>43</v>
      </c>
      <c r="G117" s="9">
        <v>775</v>
      </c>
      <c r="H117" s="10">
        <v>4421.5600000000004</v>
      </c>
      <c r="N117" s="11">
        <v>775</v>
      </c>
      <c r="O117" s="12">
        <v>4421.5600000000004</v>
      </c>
    </row>
    <row r="118" spans="2:15" x14ac:dyDescent="0.2">
      <c r="B118" s="8">
        <v>38430.485850910809</v>
      </c>
      <c r="C118" s="9" t="s">
        <v>0</v>
      </c>
      <c r="D118" s="9" t="s">
        <v>12</v>
      </c>
      <c r="E118" s="9" t="s">
        <v>26</v>
      </c>
      <c r="F118" s="9" t="s">
        <v>40</v>
      </c>
      <c r="G118" s="9">
        <v>20</v>
      </c>
      <c r="H118" s="10">
        <v>16.34</v>
      </c>
      <c r="N118" s="11">
        <v>20</v>
      </c>
      <c r="O118" s="12">
        <v>16.34</v>
      </c>
    </row>
    <row r="119" spans="2:15" x14ac:dyDescent="0.2">
      <c r="B119" s="8">
        <v>38452.596351119471</v>
      </c>
      <c r="C119" s="9" t="s">
        <v>36</v>
      </c>
      <c r="D119" s="9" t="s">
        <v>20</v>
      </c>
      <c r="E119" s="9" t="s">
        <v>26</v>
      </c>
      <c r="F119" s="9" t="s">
        <v>40</v>
      </c>
      <c r="G119" s="9">
        <v>925</v>
      </c>
      <c r="H119" s="10">
        <v>799.96</v>
      </c>
      <c r="N119" s="11">
        <v>925</v>
      </c>
      <c r="O119" s="12">
        <v>799.96</v>
      </c>
    </row>
    <row r="120" spans="2:15" x14ac:dyDescent="0.2">
      <c r="B120" s="8">
        <v>38455.58567519729</v>
      </c>
      <c r="C120" s="9" t="s">
        <v>36</v>
      </c>
      <c r="D120" s="9" t="s">
        <v>8</v>
      </c>
      <c r="E120" s="9" t="s">
        <v>26</v>
      </c>
      <c r="F120" s="9" t="s">
        <v>40</v>
      </c>
      <c r="G120" s="9">
        <v>810</v>
      </c>
      <c r="H120" s="10">
        <v>641.83000000000004</v>
      </c>
      <c r="N120" s="11">
        <v>810</v>
      </c>
      <c r="O120" s="12">
        <v>641.83000000000004</v>
      </c>
    </row>
    <row r="121" spans="2:15" x14ac:dyDescent="0.2">
      <c r="B121" s="8">
        <v>38466.119198199711</v>
      </c>
      <c r="C121" s="9" t="s">
        <v>3</v>
      </c>
      <c r="D121" s="9" t="s">
        <v>16</v>
      </c>
      <c r="E121" s="9" t="s">
        <v>26</v>
      </c>
      <c r="F121" s="9" t="s">
        <v>40</v>
      </c>
      <c r="G121" s="9">
        <v>215</v>
      </c>
      <c r="H121" s="10">
        <v>175.43</v>
      </c>
      <c r="N121" s="11">
        <v>215</v>
      </c>
      <c r="O121" s="12">
        <v>175.43</v>
      </c>
    </row>
    <row r="122" spans="2:15" x14ac:dyDescent="0.2">
      <c r="B122" s="8">
        <v>38470.45182493695</v>
      </c>
      <c r="C122" s="9" t="s">
        <v>37</v>
      </c>
      <c r="D122" s="9" t="s">
        <v>6</v>
      </c>
      <c r="E122" s="9" t="s">
        <v>26</v>
      </c>
      <c r="F122" s="9" t="s">
        <v>40</v>
      </c>
      <c r="G122" s="9">
        <v>390</v>
      </c>
      <c r="H122" s="10">
        <v>349.98</v>
      </c>
      <c r="N122" s="11">
        <v>390</v>
      </c>
      <c r="O122" s="12">
        <v>349.98</v>
      </c>
    </row>
    <row r="123" spans="2:15" x14ac:dyDescent="0.2">
      <c r="B123" s="8">
        <v>38480.624153423669</v>
      </c>
      <c r="C123" s="9" t="s">
        <v>1</v>
      </c>
      <c r="D123" s="9" t="s">
        <v>21</v>
      </c>
      <c r="E123" s="9" t="s">
        <v>26</v>
      </c>
      <c r="F123" s="9" t="s">
        <v>40</v>
      </c>
      <c r="G123" s="9">
        <v>245</v>
      </c>
      <c r="H123" s="10">
        <v>559.94000000000005</v>
      </c>
      <c r="N123" s="11">
        <v>245</v>
      </c>
      <c r="O123" s="12">
        <v>559.94000000000005</v>
      </c>
    </row>
    <row r="124" spans="2:15" x14ac:dyDescent="0.2">
      <c r="B124" s="8">
        <v>38481.896485581769</v>
      </c>
      <c r="C124" s="9" t="s">
        <v>37</v>
      </c>
      <c r="D124" s="9" t="s">
        <v>21</v>
      </c>
      <c r="E124" s="9" t="s">
        <v>26</v>
      </c>
      <c r="F124" s="9" t="s">
        <v>40</v>
      </c>
      <c r="G124" s="9">
        <v>365</v>
      </c>
      <c r="H124" s="10">
        <v>794.97</v>
      </c>
      <c r="N124" s="11">
        <v>365</v>
      </c>
      <c r="O124" s="12">
        <v>794.97</v>
      </c>
    </row>
    <row r="125" spans="2:15" x14ac:dyDescent="0.2">
      <c r="B125" s="8">
        <v>38518.452028877604</v>
      </c>
      <c r="C125" s="9" t="s">
        <v>3</v>
      </c>
      <c r="D125" s="9" t="s">
        <v>11</v>
      </c>
      <c r="E125" s="9" t="s">
        <v>26</v>
      </c>
      <c r="F125" s="9" t="s">
        <v>40</v>
      </c>
      <c r="G125" s="9">
        <v>690</v>
      </c>
      <c r="H125" s="10">
        <v>548.70000000000005</v>
      </c>
      <c r="N125" s="11">
        <v>690</v>
      </c>
      <c r="O125" s="12">
        <v>548.70000000000005</v>
      </c>
    </row>
    <row r="126" spans="2:15" x14ac:dyDescent="0.2">
      <c r="B126" s="8">
        <v>38585.974636827697</v>
      </c>
      <c r="C126" s="9" t="s">
        <v>0</v>
      </c>
      <c r="D126" s="9" t="s">
        <v>11</v>
      </c>
      <c r="E126" s="9" t="s">
        <v>26</v>
      </c>
      <c r="F126" s="9" t="s">
        <v>40</v>
      </c>
      <c r="G126" s="9">
        <v>750</v>
      </c>
      <c r="H126" s="10">
        <v>664.38</v>
      </c>
      <c r="N126" s="11">
        <v>750</v>
      </c>
      <c r="O126" s="12">
        <v>664.38</v>
      </c>
    </row>
    <row r="127" spans="2:15" x14ac:dyDescent="0.2">
      <c r="B127" s="8">
        <v>38431.605631451544</v>
      </c>
      <c r="C127" s="9" t="s">
        <v>3</v>
      </c>
      <c r="D127" s="9" t="s">
        <v>11</v>
      </c>
      <c r="E127" s="9" t="s">
        <v>26</v>
      </c>
      <c r="F127" s="9" t="s">
        <v>28</v>
      </c>
      <c r="G127" s="9">
        <v>335</v>
      </c>
      <c r="H127" s="10">
        <v>558.33000000000004</v>
      </c>
      <c r="N127" s="11">
        <v>335</v>
      </c>
      <c r="O127" s="12">
        <v>558.33000000000004</v>
      </c>
    </row>
    <row r="128" spans="2:15" x14ac:dyDescent="0.2">
      <c r="B128" s="8">
        <v>38517.419402557061</v>
      </c>
      <c r="C128" s="9" t="s">
        <v>36</v>
      </c>
      <c r="D128" s="9" t="s">
        <v>7</v>
      </c>
      <c r="E128" s="9" t="s">
        <v>26</v>
      </c>
      <c r="F128" s="9" t="s">
        <v>28</v>
      </c>
      <c r="G128" s="9">
        <v>120</v>
      </c>
      <c r="H128" s="10">
        <v>193.01</v>
      </c>
      <c r="N128" s="11">
        <v>120</v>
      </c>
      <c r="O128" s="12">
        <v>193.01</v>
      </c>
    </row>
    <row r="129" spans="2:15" x14ac:dyDescent="0.2">
      <c r="B129" s="8">
        <v>38577.158143721506</v>
      </c>
      <c r="C129" s="9" t="s">
        <v>37</v>
      </c>
      <c r="D129" s="9" t="s">
        <v>11</v>
      </c>
      <c r="E129" s="9" t="s">
        <v>26</v>
      </c>
      <c r="F129" s="9" t="s">
        <v>28</v>
      </c>
      <c r="G129" s="9">
        <v>710</v>
      </c>
      <c r="H129" s="10">
        <v>1124.5</v>
      </c>
      <c r="N129" s="11">
        <v>710</v>
      </c>
      <c r="O129" s="12">
        <v>1124.5</v>
      </c>
    </row>
    <row r="130" spans="2:15" x14ac:dyDescent="0.2">
      <c r="B130" s="8">
        <v>38435.148331771787</v>
      </c>
      <c r="C130" s="9" t="s">
        <v>37</v>
      </c>
      <c r="D130" s="9" t="s">
        <v>23</v>
      </c>
      <c r="E130" s="9" t="s">
        <v>26</v>
      </c>
      <c r="F130" s="9" t="s">
        <v>41</v>
      </c>
      <c r="G130" s="9">
        <v>195</v>
      </c>
      <c r="H130" s="10">
        <v>381.22</v>
      </c>
      <c r="N130" s="11">
        <v>195</v>
      </c>
      <c r="O130" s="12">
        <v>381.22</v>
      </c>
    </row>
    <row r="131" spans="2:15" x14ac:dyDescent="0.2">
      <c r="B131" s="8">
        <v>38476.497535675662</v>
      </c>
      <c r="C131" s="9" t="s">
        <v>4</v>
      </c>
      <c r="D131" s="9" t="s">
        <v>23</v>
      </c>
      <c r="E131" s="9" t="s">
        <v>26</v>
      </c>
      <c r="F131" s="9" t="s">
        <v>41</v>
      </c>
      <c r="G131" s="9">
        <v>825</v>
      </c>
      <c r="H131" s="10">
        <v>1015.98</v>
      </c>
      <c r="N131" s="11">
        <v>825</v>
      </c>
      <c r="O131" s="12">
        <v>1015.98</v>
      </c>
    </row>
    <row r="132" spans="2:15" x14ac:dyDescent="0.2">
      <c r="B132" s="8">
        <v>38483.991238050345</v>
      </c>
      <c r="C132" s="9" t="s">
        <v>3</v>
      </c>
      <c r="D132" s="9" t="s">
        <v>24</v>
      </c>
      <c r="E132" s="9" t="s">
        <v>26</v>
      </c>
      <c r="F132" s="9" t="s">
        <v>41</v>
      </c>
      <c r="G132" s="9">
        <v>245</v>
      </c>
      <c r="H132" s="10">
        <v>285.17</v>
      </c>
      <c r="N132" s="11">
        <v>245</v>
      </c>
      <c r="O132" s="12">
        <v>285.17</v>
      </c>
    </row>
    <row r="133" spans="2:15" x14ac:dyDescent="0.2">
      <c r="B133" s="8">
        <v>38487.963576598217</v>
      </c>
      <c r="C133" s="9" t="s">
        <v>3</v>
      </c>
      <c r="D133" s="9" t="s">
        <v>17</v>
      </c>
      <c r="E133" s="9" t="s">
        <v>26</v>
      </c>
      <c r="F133" s="9" t="s">
        <v>41</v>
      </c>
      <c r="G133" s="9">
        <v>330</v>
      </c>
      <c r="H133" s="10">
        <v>372.18</v>
      </c>
      <c r="N133" s="11">
        <v>330</v>
      </c>
      <c r="O133" s="12">
        <v>372.18</v>
      </c>
    </row>
    <row r="134" spans="2:15" x14ac:dyDescent="0.2">
      <c r="B134" s="8">
        <v>38495.14821551511</v>
      </c>
      <c r="C134" s="9" t="s">
        <v>2</v>
      </c>
      <c r="D134" s="9" t="s">
        <v>19</v>
      </c>
      <c r="E134" s="9" t="s">
        <v>26</v>
      </c>
      <c r="F134" s="9" t="s">
        <v>41</v>
      </c>
      <c r="G134" s="9">
        <v>830</v>
      </c>
      <c r="H134" s="10">
        <v>1009.2</v>
      </c>
      <c r="N134" s="11">
        <v>830</v>
      </c>
      <c r="O134" s="12">
        <v>1009.2</v>
      </c>
    </row>
    <row r="135" spans="2:15" x14ac:dyDescent="0.2">
      <c r="B135" s="8">
        <v>38513.811156236676</v>
      </c>
      <c r="C135" s="9" t="s">
        <v>0</v>
      </c>
      <c r="D135" s="9" t="s">
        <v>17</v>
      </c>
      <c r="E135" s="9" t="s">
        <v>26</v>
      </c>
      <c r="F135" s="9" t="s">
        <v>41</v>
      </c>
      <c r="G135" s="9">
        <v>205</v>
      </c>
      <c r="H135" s="10">
        <v>242.69</v>
      </c>
      <c r="N135" s="11">
        <v>205</v>
      </c>
      <c r="O135" s="12">
        <v>242.69</v>
      </c>
    </row>
    <row r="136" spans="2:15" x14ac:dyDescent="0.2">
      <c r="B136" s="8">
        <v>38432.18123974745</v>
      </c>
      <c r="C136" s="9" t="s">
        <v>3</v>
      </c>
      <c r="D136" s="9" t="s">
        <v>8</v>
      </c>
      <c r="E136" s="9" t="s">
        <v>26</v>
      </c>
      <c r="F136" s="9" t="s">
        <v>27</v>
      </c>
      <c r="G136" s="9">
        <v>610</v>
      </c>
      <c r="H136" s="10">
        <v>755.03</v>
      </c>
      <c r="N136" s="11">
        <v>610</v>
      </c>
      <c r="O136" s="12">
        <v>755.03</v>
      </c>
    </row>
    <row r="137" spans="2:15" x14ac:dyDescent="0.2">
      <c r="B137" s="8">
        <v>38445.24790862175</v>
      </c>
      <c r="C137" s="9" t="s">
        <v>36</v>
      </c>
      <c r="D137" s="9" t="s">
        <v>21</v>
      </c>
      <c r="E137" s="9" t="s">
        <v>26</v>
      </c>
      <c r="F137" s="9" t="s">
        <v>27</v>
      </c>
      <c r="G137" s="9">
        <v>970</v>
      </c>
      <c r="H137" s="10">
        <v>1144.8800000000001</v>
      </c>
      <c r="N137" s="11">
        <v>970</v>
      </c>
      <c r="O137" s="12">
        <v>1144.8800000000001</v>
      </c>
    </row>
    <row r="138" spans="2:15" x14ac:dyDescent="0.2">
      <c r="B138" s="8">
        <v>38451.509657267168</v>
      </c>
      <c r="C138" s="9" t="s">
        <v>36</v>
      </c>
      <c r="D138" s="9" t="s">
        <v>6</v>
      </c>
      <c r="E138" s="9" t="s">
        <v>26</v>
      </c>
      <c r="F138" s="9" t="s">
        <v>27</v>
      </c>
      <c r="G138" s="9">
        <v>640</v>
      </c>
      <c r="H138" s="10">
        <v>829.06</v>
      </c>
      <c r="N138" s="11">
        <v>640</v>
      </c>
      <c r="O138" s="12">
        <v>829.06</v>
      </c>
    </row>
    <row r="139" spans="2:15" x14ac:dyDescent="0.2">
      <c r="B139" s="8">
        <v>38458.96712754928</v>
      </c>
      <c r="C139" s="9" t="s">
        <v>37</v>
      </c>
      <c r="D139" s="9" t="s">
        <v>22</v>
      </c>
      <c r="E139" s="9" t="s">
        <v>26</v>
      </c>
      <c r="F139" s="9" t="s">
        <v>27</v>
      </c>
      <c r="G139" s="9">
        <v>830</v>
      </c>
      <c r="H139" s="10">
        <v>949.91</v>
      </c>
      <c r="N139" s="11">
        <v>830</v>
      </c>
      <c r="O139" s="12">
        <v>949.91</v>
      </c>
    </row>
    <row r="140" spans="2:15" x14ac:dyDescent="0.2">
      <c r="B140" s="8">
        <v>38464.191090280423</v>
      </c>
      <c r="C140" s="9" t="s">
        <v>3</v>
      </c>
      <c r="D140" s="9" t="s">
        <v>8</v>
      </c>
      <c r="E140" s="9" t="s">
        <v>26</v>
      </c>
      <c r="F140" s="9" t="s">
        <v>27</v>
      </c>
      <c r="G140" s="9">
        <v>675</v>
      </c>
      <c r="H140" s="10">
        <v>868.74</v>
      </c>
      <c r="N140" s="11">
        <v>675</v>
      </c>
      <c r="O140" s="12">
        <v>868.74</v>
      </c>
    </row>
    <row r="141" spans="2:15" x14ac:dyDescent="0.2">
      <c r="B141" s="8">
        <v>38464.608830819656</v>
      </c>
      <c r="C141" s="9" t="s">
        <v>36</v>
      </c>
      <c r="D141" s="9" t="s">
        <v>8</v>
      </c>
      <c r="E141" s="9" t="s">
        <v>26</v>
      </c>
      <c r="F141" s="9" t="s">
        <v>27</v>
      </c>
      <c r="G141" s="9">
        <v>460</v>
      </c>
      <c r="H141" s="10">
        <v>577.76</v>
      </c>
      <c r="N141" s="11">
        <v>460</v>
      </c>
      <c r="O141" s="12">
        <v>577.76</v>
      </c>
    </row>
    <row r="142" spans="2:15" x14ac:dyDescent="0.2">
      <c r="B142" s="8">
        <v>38465.975864976594</v>
      </c>
      <c r="C142" s="9" t="s">
        <v>3</v>
      </c>
      <c r="D142" s="9" t="s">
        <v>10</v>
      </c>
      <c r="E142" s="9" t="s">
        <v>26</v>
      </c>
      <c r="F142" s="9" t="s">
        <v>27</v>
      </c>
      <c r="G142" s="9">
        <v>265</v>
      </c>
      <c r="H142" s="10">
        <v>329.64</v>
      </c>
      <c r="N142" s="11">
        <v>265</v>
      </c>
      <c r="O142" s="12">
        <v>329.64</v>
      </c>
    </row>
    <row r="143" spans="2:15" x14ac:dyDescent="0.2">
      <c r="B143" s="8">
        <v>38466.56749600359</v>
      </c>
      <c r="C143" s="9" t="s">
        <v>0</v>
      </c>
      <c r="D143" s="9" t="s">
        <v>24</v>
      </c>
      <c r="E143" s="9" t="s">
        <v>26</v>
      </c>
      <c r="F143" s="9" t="s">
        <v>27</v>
      </c>
      <c r="G143" s="9">
        <v>360</v>
      </c>
      <c r="H143" s="10">
        <v>474.89</v>
      </c>
      <c r="N143" s="11">
        <v>360</v>
      </c>
      <c r="O143" s="12">
        <v>474.89</v>
      </c>
    </row>
    <row r="144" spans="2:15" x14ac:dyDescent="0.2">
      <c r="B144" s="8">
        <v>38467.801192101382</v>
      </c>
      <c r="C144" s="9" t="s">
        <v>0</v>
      </c>
      <c r="D144" s="9" t="s">
        <v>21</v>
      </c>
      <c r="E144" s="9" t="s">
        <v>26</v>
      </c>
      <c r="F144" s="9" t="s">
        <v>27</v>
      </c>
      <c r="G144" s="9">
        <v>740</v>
      </c>
      <c r="H144" s="10">
        <v>2141.89</v>
      </c>
      <c r="N144" s="11">
        <v>740</v>
      </c>
      <c r="O144" s="12">
        <v>2141.89</v>
      </c>
    </row>
    <row r="145" spans="2:15" x14ac:dyDescent="0.2">
      <c r="B145" s="8">
        <v>38485.253092596511</v>
      </c>
      <c r="C145" s="9" t="s">
        <v>37</v>
      </c>
      <c r="D145" s="9" t="s">
        <v>6</v>
      </c>
      <c r="E145" s="9" t="s">
        <v>26</v>
      </c>
      <c r="F145" s="9" t="s">
        <v>27</v>
      </c>
      <c r="G145" s="9">
        <v>655</v>
      </c>
      <c r="H145" s="10">
        <v>799.73</v>
      </c>
      <c r="N145" s="11">
        <v>655</v>
      </c>
      <c r="O145" s="12">
        <v>799.73</v>
      </c>
    </row>
    <row r="146" spans="2:15" x14ac:dyDescent="0.2">
      <c r="B146" s="8">
        <v>38485.406927400159</v>
      </c>
      <c r="C146" s="9" t="s">
        <v>2</v>
      </c>
      <c r="D146" s="9" t="s">
        <v>8</v>
      </c>
      <c r="E146" s="9" t="s">
        <v>26</v>
      </c>
      <c r="F146" s="9" t="s">
        <v>27</v>
      </c>
      <c r="G146" s="9">
        <v>5</v>
      </c>
      <c r="H146" s="10">
        <v>5.72</v>
      </c>
      <c r="N146" s="11">
        <v>5</v>
      </c>
      <c r="O146" s="12">
        <v>5.72</v>
      </c>
    </row>
    <row r="147" spans="2:15" x14ac:dyDescent="0.2">
      <c r="B147" s="8">
        <v>38489.035713090394</v>
      </c>
      <c r="C147" s="9" t="s">
        <v>0</v>
      </c>
      <c r="D147" s="9" t="s">
        <v>23</v>
      </c>
      <c r="E147" s="9" t="s">
        <v>26</v>
      </c>
      <c r="F147" s="9" t="s">
        <v>27</v>
      </c>
      <c r="G147" s="9">
        <v>470</v>
      </c>
      <c r="H147" s="10">
        <v>1562.53</v>
      </c>
      <c r="N147" s="11">
        <v>470</v>
      </c>
      <c r="O147" s="12">
        <v>1562.53</v>
      </c>
    </row>
    <row r="148" spans="2:15" x14ac:dyDescent="0.2">
      <c r="B148" s="8">
        <v>38489.117222457651</v>
      </c>
      <c r="C148" s="9" t="s">
        <v>2</v>
      </c>
      <c r="D148" s="9" t="s">
        <v>23</v>
      </c>
      <c r="E148" s="9" t="s">
        <v>26</v>
      </c>
      <c r="F148" s="9" t="s">
        <v>27</v>
      </c>
      <c r="G148" s="9">
        <v>745</v>
      </c>
      <c r="H148" s="10">
        <v>1589.09</v>
      </c>
      <c r="N148" s="11">
        <v>745</v>
      </c>
      <c r="O148" s="12">
        <v>1589.09</v>
      </c>
    </row>
    <row r="149" spans="2:15" x14ac:dyDescent="0.2">
      <c r="B149" s="8">
        <v>38529.399083148186</v>
      </c>
      <c r="C149" s="9" t="s">
        <v>4</v>
      </c>
      <c r="D149" s="9" t="s">
        <v>12</v>
      </c>
      <c r="E149" s="9" t="s">
        <v>26</v>
      </c>
      <c r="F149" s="9" t="s">
        <v>27</v>
      </c>
      <c r="G149" s="9">
        <v>305</v>
      </c>
      <c r="H149" s="10">
        <v>401.74</v>
      </c>
      <c r="N149" s="11">
        <v>305</v>
      </c>
      <c r="O149" s="12">
        <v>401.74</v>
      </c>
    </row>
    <row r="150" spans="2:15" x14ac:dyDescent="0.2">
      <c r="B150" s="8">
        <v>38568.760725125474</v>
      </c>
      <c r="C150" s="9" t="s">
        <v>36</v>
      </c>
      <c r="D150" s="9" t="s">
        <v>16</v>
      </c>
      <c r="E150" s="9" t="s">
        <v>26</v>
      </c>
      <c r="F150" s="9" t="s">
        <v>27</v>
      </c>
      <c r="G150" s="9">
        <v>205</v>
      </c>
      <c r="H150" s="10">
        <v>269.55</v>
      </c>
      <c r="N150" s="11">
        <v>205</v>
      </c>
      <c r="O150" s="12">
        <v>269.55</v>
      </c>
    </row>
    <row r="151" spans="2:15" x14ac:dyDescent="0.2">
      <c r="B151" s="8">
        <v>38575.959010212937</v>
      </c>
      <c r="C151" s="9" t="s">
        <v>36</v>
      </c>
      <c r="D151" s="9" t="s">
        <v>14</v>
      </c>
      <c r="E151" s="9" t="s">
        <v>26</v>
      </c>
      <c r="F151" s="9" t="s">
        <v>27</v>
      </c>
      <c r="G151" s="9">
        <v>805</v>
      </c>
      <c r="H151" s="10">
        <v>1025.08</v>
      </c>
      <c r="N151" s="11">
        <v>805</v>
      </c>
      <c r="O151" s="12">
        <v>1025.08</v>
      </c>
    </row>
    <row r="152" spans="2:15" x14ac:dyDescent="0.2">
      <c r="B152" s="8">
        <v>38421.232308921921</v>
      </c>
      <c r="C152" s="9" t="s">
        <v>36</v>
      </c>
      <c r="D152" s="9" t="s">
        <v>23</v>
      </c>
      <c r="E152" s="9" t="s">
        <v>26</v>
      </c>
      <c r="F152" s="9" t="s">
        <v>38</v>
      </c>
      <c r="G152" s="9">
        <v>135</v>
      </c>
      <c r="H152" s="10">
        <v>375.86</v>
      </c>
      <c r="N152" s="11">
        <v>135</v>
      </c>
      <c r="O152" s="12">
        <v>375.86</v>
      </c>
    </row>
    <row r="153" spans="2:15" x14ac:dyDescent="0.2">
      <c r="B153" s="8">
        <v>38448.178420534707</v>
      </c>
      <c r="C153" s="9" t="s">
        <v>1</v>
      </c>
      <c r="D153" s="9" t="s">
        <v>23</v>
      </c>
      <c r="E153" s="9" t="s">
        <v>26</v>
      </c>
      <c r="F153" s="9" t="s">
        <v>38</v>
      </c>
      <c r="G153" s="9">
        <v>700</v>
      </c>
      <c r="H153" s="10">
        <v>5034.1899999999996</v>
      </c>
      <c r="N153" s="11">
        <v>700</v>
      </c>
      <c r="O153" s="12">
        <v>5034.1899999999996</v>
      </c>
    </row>
    <row r="154" spans="2:15" x14ac:dyDescent="0.2">
      <c r="B154" s="8">
        <v>38461.680381568105</v>
      </c>
      <c r="C154" s="9" t="s">
        <v>2</v>
      </c>
      <c r="D154" s="9" t="s">
        <v>23</v>
      </c>
      <c r="E154" s="9" t="s">
        <v>26</v>
      </c>
      <c r="F154" s="9" t="s">
        <v>38</v>
      </c>
      <c r="G154" s="9">
        <v>910</v>
      </c>
      <c r="H154" s="10">
        <v>2502.77</v>
      </c>
      <c r="N154" s="11">
        <v>910</v>
      </c>
      <c r="O154" s="12">
        <v>2502.77</v>
      </c>
    </row>
    <row r="155" spans="2:15" x14ac:dyDescent="0.2">
      <c r="B155" s="8">
        <v>38466.725465985262</v>
      </c>
      <c r="C155" s="9" t="s">
        <v>36</v>
      </c>
      <c r="D155" s="9" t="s">
        <v>16</v>
      </c>
      <c r="E155" s="9" t="s">
        <v>26</v>
      </c>
      <c r="F155" s="9" t="s">
        <v>38</v>
      </c>
      <c r="G155" s="9">
        <v>45</v>
      </c>
      <c r="H155" s="10">
        <v>129.35</v>
      </c>
      <c r="N155" s="11">
        <v>45</v>
      </c>
      <c r="O155" s="12">
        <v>129.35</v>
      </c>
    </row>
    <row r="156" spans="2:15" x14ac:dyDescent="0.2">
      <c r="B156" s="8">
        <v>38470.898064159257</v>
      </c>
      <c r="C156" s="9" t="s">
        <v>3</v>
      </c>
      <c r="D156" s="9" t="s">
        <v>23</v>
      </c>
      <c r="E156" s="9" t="s">
        <v>26</v>
      </c>
      <c r="F156" s="9" t="s">
        <v>38</v>
      </c>
      <c r="G156" s="9">
        <v>315</v>
      </c>
      <c r="H156" s="10">
        <v>2083.09</v>
      </c>
      <c r="N156" s="11">
        <v>315</v>
      </c>
      <c r="O156" s="12">
        <v>2083.09</v>
      </c>
    </row>
    <row r="157" spans="2:15" x14ac:dyDescent="0.2">
      <c r="B157" s="8">
        <v>38477.597364538713</v>
      </c>
      <c r="C157" s="9" t="s">
        <v>37</v>
      </c>
      <c r="D157" s="9" t="s">
        <v>6</v>
      </c>
      <c r="E157" s="9" t="s">
        <v>26</v>
      </c>
      <c r="F157" s="9" t="s">
        <v>38</v>
      </c>
      <c r="G157" s="9">
        <v>460</v>
      </c>
      <c r="H157" s="10">
        <v>1250.32</v>
      </c>
      <c r="N157" s="11">
        <v>460</v>
      </c>
      <c r="O157" s="12">
        <v>1250.32</v>
      </c>
    </row>
    <row r="158" spans="2:15" x14ac:dyDescent="0.2">
      <c r="B158" s="8">
        <v>38491.454904180093</v>
      </c>
      <c r="C158" s="9" t="s">
        <v>36</v>
      </c>
      <c r="D158" s="9" t="s">
        <v>10</v>
      </c>
      <c r="E158" s="9" t="s">
        <v>26</v>
      </c>
      <c r="F158" s="9" t="s">
        <v>38</v>
      </c>
      <c r="G158" s="9">
        <v>905</v>
      </c>
      <c r="H158" s="10">
        <v>2643.57</v>
      </c>
      <c r="N158" s="11">
        <v>905</v>
      </c>
      <c r="O158" s="12">
        <v>2643.57</v>
      </c>
    </row>
    <row r="159" spans="2:15" x14ac:dyDescent="0.2">
      <c r="B159" s="8">
        <v>38491.883930444623</v>
      </c>
      <c r="C159" s="9" t="s">
        <v>3</v>
      </c>
      <c r="D159" s="9" t="s">
        <v>21</v>
      </c>
      <c r="E159" s="9" t="s">
        <v>26</v>
      </c>
      <c r="F159" s="9" t="s">
        <v>38</v>
      </c>
      <c r="G159" s="9">
        <v>70</v>
      </c>
      <c r="H159" s="10">
        <v>487.27</v>
      </c>
      <c r="N159" s="11">
        <v>70</v>
      </c>
      <c r="O159" s="12">
        <v>487.27</v>
      </c>
    </row>
    <row r="160" spans="2:15" x14ac:dyDescent="0.2">
      <c r="B160" s="8">
        <v>38493.805518502711</v>
      </c>
      <c r="C160" s="9" t="s">
        <v>36</v>
      </c>
      <c r="D160" s="9" t="s">
        <v>23</v>
      </c>
      <c r="E160" s="9" t="s">
        <v>26</v>
      </c>
      <c r="F160" s="9" t="s">
        <v>38</v>
      </c>
      <c r="G160" s="9">
        <v>315</v>
      </c>
      <c r="H160" s="10">
        <v>2541.7800000000002</v>
      </c>
      <c r="N160" s="11">
        <v>315</v>
      </c>
      <c r="O160" s="12">
        <v>2541.7800000000002</v>
      </c>
    </row>
    <row r="161" spans="2:15" x14ac:dyDescent="0.2">
      <c r="B161" s="8">
        <v>38494.674012750016</v>
      </c>
      <c r="C161" s="9" t="s">
        <v>0</v>
      </c>
      <c r="D161" s="9" t="s">
        <v>7</v>
      </c>
      <c r="E161" s="9" t="s">
        <v>26</v>
      </c>
      <c r="F161" s="9" t="s">
        <v>38</v>
      </c>
      <c r="G161" s="9">
        <v>295</v>
      </c>
      <c r="H161" s="10">
        <v>872.24</v>
      </c>
      <c r="N161" s="11">
        <v>295</v>
      </c>
      <c r="O161" s="12">
        <v>872.24</v>
      </c>
    </row>
    <row r="162" spans="2:15" x14ac:dyDescent="0.2">
      <c r="B162" s="8">
        <v>38494.851719791695</v>
      </c>
      <c r="C162" s="9" t="s">
        <v>36</v>
      </c>
      <c r="D162" s="9" t="s">
        <v>22</v>
      </c>
      <c r="E162" s="9" t="s">
        <v>26</v>
      </c>
      <c r="F162" s="9" t="s">
        <v>38</v>
      </c>
      <c r="G162" s="9">
        <v>155</v>
      </c>
      <c r="H162" s="10">
        <v>439.51</v>
      </c>
      <c r="N162" s="11">
        <v>155</v>
      </c>
      <c r="O162" s="12">
        <v>439.51</v>
      </c>
    </row>
    <row r="163" spans="2:15" x14ac:dyDescent="0.2">
      <c r="B163" s="8">
        <v>38502.35382845714</v>
      </c>
      <c r="C163" s="9" t="s">
        <v>36</v>
      </c>
      <c r="D163" s="9" t="s">
        <v>6</v>
      </c>
      <c r="E163" s="9" t="s">
        <v>26</v>
      </c>
      <c r="F163" s="9" t="s">
        <v>38</v>
      </c>
      <c r="G163" s="9">
        <v>965</v>
      </c>
      <c r="H163" s="10">
        <v>2926.98</v>
      </c>
      <c r="N163" s="11">
        <v>965</v>
      </c>
      <c r="O163" s="12">
        <v>2926.98</v>
      </c>
    </row>
    <row r="164" spans="2:15" x14ac:dyDescent="0.2">
      <c r="B164" s="8">
        <v>38424.316415309695</v>
      </c>
      <c r="C164" s="9" t="s">
        <v>0</v>
      </c>
      <c r="D164" s="9" t="s">
        <v>18</v>
      </c>
      <c r="E164" s="9" t="s">
        <v>25</v>
      </c>
      <c r="F164" s="9" t="s">
        <v>39</v>
      </c>
      <c r="G164" s="9">
        <v>445</v>
      </c>
      <c r="H164" s="10">
        <v>460.8</v>
      </c>
      <c r="N164" s="11">
        <v>445</v>
      </c>
      <c r="O164" s="12">
        <v>460.8</v>
      </c>
    </row>
    <row r="165" spans="2:15" x14ac:dyDescent="0.2">
      <c r="B165" s="8">
        <v>38438.420954070956</v>
      </c>
      <c r="C165" s="9" t="s">
        <v>36</v>
      </c>
      <c r="D165" s="9" t="s">
        <v>9</v>
      </c>
      <c r="E165" s="9" t="s">
        <v>25</v>
      </c>
      <c r="F165" s="9" t="s">
        <v>39</v>
      </c>
      <c r="G165" s="9">
        <v>690</v>
      </c>
      <c r="H165" s="10">
        <v>270.58999999999997</v>
      </c>
      <c r="N165" s="11">
        <v>690</v>
      </c>
      <c r="O165" s="12">
        <v>270.58999999999997</v>
      </c>
    </row>
    <row r="166" spans="2:15" x14ac:dyDescent="0.2">
      <c r="B166" s="8">
        <v>38455.408400777989</v>
      </c>
      <c r="C166" s="9" t="s">
        <v>1</v>
      </c>
      <c r="D166" s="9" t="s">
        <v>17</v>
      </c>
      <c r="E166" s="9" t="s">
        <v>25</v>
      </c>
      <c r="F166" s="9" t="s">
        <v>39</v>
      </c>
      <c r="G166" s="9">
        <v>185</v>
      </c>
      <c r="H166" s="10">
        <v>124.87</v>
      </c>
      <c r="N166" s="11">
        <v>185</v>
      </c>
      <c r="O166" s="12">
        <v>124.87</v>
      </c>
    </row>
    <row r="167" spans="2:15" x14ac:dyDescent="0.2">
      <c r="B167" s="8">
        <v>38456.818680538738</v>
      </c>
      <c r="C167" s="9" t="s">
        <v>37</v>
      </c>
      <c r="D167" s="9" t="s">
        <v>19</v>
      </c>
      <c r="E167" s="9" t="s">
        <v>25</v>
      </c>
      <c r="F167" s="9" t="s">
        <v>39</v>
      </c>
      <c r="G167" s="9">
        <v>905</v>
      </c>
      <c r="H167" s="10">
        <v>594.37</v>
      </c>
      <c r="N167" s="11">
        <v>905</v>
      </c>
      <c r="O167" s="12">
        <v>594.37</v>
      </c>
    </row>
    <row r="168" spans="2:15" x14ac:dyDescent="0.2">
      <c r="B168" s="8">
        <v>38468.410224597807</v>
      </c>
      <c r="C168" s="9" t="s">
        <v>0</v>
      </c>
      <c r="D168" s="9" t="s">
        <v>18</v>
      </c>
      <c r="E168" s="9" t="s">
        <v>25</v>
      </c>
      <c r="F168" s="9" t="s">
        <v>39</v>
      </c>
      <c r="G168" s="9">
        <v>950</v>
      </c>
      <c r="H168" s="10">
        <v>1064.7</v>
      </c>
      <c r="N168" s="11">
        <v>950</v>
      </c>
      <c r="O168" s="12">
        <v>1064.7</v>
      </c>
    </row>
    <row r="169" spans="2:15" x14ac:dyDescent="0.2">
      <c r="B169" s="8">
        <v>38470.007420889895</v>
      </c>
      <c r="C169" s="9" t="s">
        <v>37</v>
      </c>
      <c r="D169" s="9" t="s">
        <v>12</v>
      </c>
      <c r="E169" s="9" t="s">
        <v>25</v>
      </c>
      <c r="F169" s="9" t="s">
        <v>39</v>
      </c>
      <c r="G169" s="9">
        <v>50</v>
      </c>
      <c r="H169" s="10">
        <v>36.869999999999997</v>
      </c>
      <c r="N169" s="11">
        <v>50</v>
      </c>
      <c r="O169" s="12">
        <v>36.869999999999997</v>
      </c>
    </row>
    <row r="170" spans="2:15" x14ac:dyDescent="0.2">
      <c r="B170" s="8">
        <v>38471.157995618254</v>
      </c>
      <c r="C170" s="9" t="s">
        <v>36</v>
      </c>
      <c r="D170" s="9" t="s">
        <v>15</v>
      </c>
      <c r="E170" s="9" t="s">
        <v>25</v>
      </c>
      <c r="F170" s="9" t="s">
        <v>39</v>
      </c>
      <c r="G170" s="9">
        <v>180</v>
      </c>
      <c r="H170" s="10">
        <v>117.2</v>
      </c>
      <c r="N170" s="11">
        <v>180</v>
      </c>
      <c r="O170" s="12">
        <v>117.2</v>
      </c>
    </row>
    <row r="171" spans="2:15" x14ac:dyDescent="0.2">
      <c r="B171" s="8">
        <v>38472.656696896353</v>
      </c>
      <c r="C171" s="9" t="s">
        <v>2</v>
      </c>
      <c r="D171" s="9" t="s">
        <v>19</v>
      </c>
      <c r="E171" s="9" t="s">
        <v>25</v>
      </c>
      <c r="F171" s="9" t="s">
        <v>39</v>
      </c>
      <c r="G171" s="9">
        <v>110</v>
      </c>
      <c r="H171" s="10">
        <v>100.71</v>
      </c>
      <c r="N171" s="11">
        <v>110</v>
      </c>
      <c r="O171" s="12">
        <v>100.71</v>
      </c>
    </row>
    <row r="172" spans="2:15" x14ac:dyDescent="0.2">
      <c r="B172" s="8">
        <v>38474.577624792859</v>
      </c>
      <c r="C172" s="9" t="s">
        <v>1</v>
      </c>
      <c r="D172" s="9" t="s">
        <v>19</v>
      </c>
      <c r="E172" s="9" t="s">
        <v>25</v>
      </c>
      <c r="F172" s="9" t="s">
        <v>39</v>
      </c>
      <c r="G172" s="9">
        <v>465</v>
      </c>
      <c r="H172" s="10">
        <v>201.41</v>
      </c>
      <c r="N172" s="11">
        <v>465</v>
      </c>
      <c r="O172" s="12">
        <v>201.41</v>
      </c>
    </row>
    <row r="173" spans="2:15" x14ac:dyDescent="0.2">
      <c r="B173" s="8">
        <v>38474.72661916275</v>
      </c>
      <c r="C173" s="9" t="s">
        <v>36</v>
      </c>
      <c r="D173" s="9" t="s">
        <v>19</v>
      </c>
      <c r="E173" s="9" t="s">
        <v>25</v>
      </c>
      <c r="F173" s="9" t="s">
        <v>39</v>
      </c>
      <c r="G173" s="9">
        <v>325</v>
      </c>
      <c r="H173" s="10">
        <v>289.42</v>
      </c>
      <c r="N173" s="11">
        <v>325</v>
      </c>
      <c r="O173" s="12">
        <v>289.42</v>
      </c>
    </row>
    <row r="174" spans="2:15" x14ac:dyDescent="0.2">
      <c r="B174" s="8">
        <v>38480.396278820219</v>
      </c>
      <c r="C174" s="9" t="s">
        <v>36</v>
      </c>
      <c r="D174" s="9" t="s">
        <v>19</v>
      </c>
      <c r="E174" s="9" t="s">
        <v>25</v>
      </c>
      <c r="F174" s="9" t="s">
        <v>39</v>
      </c>
      <c r="G174" s="9">
        <v>615</v>
      </c>
      <c r="H174" s="10">
        <v>630.91999999999996</v>
      </c>
      <c r="N174" s="11">
        <v>615</v>
      </c>
      <c r="O174" s="12">
        <v>630.91999999999996</v>
      </c>
    </row>
    <row r="175" spans="2:15" x14ac:dyDescent="0.2">
      <c r="B175" s="8">
        <v>38496.938018237124</v>
      </c>
      <c r="C175" s="9" t="s">
        <v>0</v>
      </c>
      <c r="D175" s="9" t="s">
        <v>20</v>
      </c>
      <c r="E175" s="9" t="s">
        <v>25</v>
      </c>
      <c r="F175" s="9" t="s">
        <v>39</v>
      </c>
      <c r="G175" s="9">
        <v>990</v>
      </c>
      <c r="H175" s="10">
        <v>1864.72</v>
      </c>
      <c r="N175" s="11">
        <v>990</v>
      </c>
      <c r="O175" s="12">
        <v>1864.72</v>
      </c>
    </row>
    <row r="176" spans="2:15" x14ac:dyDescent="0.2">
      <c r="B176" s="8">
        <v>38497.276219242434</v>
      </c>
      <c r="C176" s="9" t="s">
        <v>37</v>
      </c>
      <c r="D176" s="9" t="s">
        <v>15</v>
      </c>
      <c r="E176" s="9" t="s">
        <v>25</v>
      </c>
      <c r="F176" s="9" t="s">
        <v>39</v>
      </c>
      <c r="G176" s="9">
        <v>195</v>
      </c>
      <c r="H176" s="10">
        <v>422.67</v>
      </c>
      <c r="N176" s="11">
        <v>195</v>
      </c>
      <c r="O176" s="12">
        <v>422.67</v>
      </c>
    </row>
    <row r="177" spans="2:15" x14ac:dyDescent="0.2">
      <c r="B177" s="8">
        <v>38498.760813206914</v>
      </c>
      <c r="C177" s="9" t="s">
        <v>4</v>
      </c>
      <c r="D177" s="9" t="s">
        <v>18</v>
      </c>
      <c r="E177" s="9" t="s">
        <v>25</v>
      </c>
      <c r="F177" s="9" t="s">
        <v>39</v>
      </c>
      <c r="G177" s="9">
        <v>580</v>
      </c>
      <c r="H177" s="10">
        <v>535.36</v>
      </c>
      <c r="N177" s="11">
        <v>580</v>
      </c>
      <c r="O177" s="12">
        <v>535.36</v>
      </c>
    </row>
    <row r="178" spans="2:15" x14ac:dyDescent="0.2">
      <c r="B178" s="8">
        <v>38502.27775977274</v>
      </c>
      <c r="C178" s="9" t="s">
        <v>2</v>
      </c>
      <c r="D178" s="9" t="s">
        <v>9</v>
      </c>
      <c r="E178" s="9" t="s">
        <v>25</v>
      </c>
      <c r="F178" s="9" t="s">
        <v>39</v>
      </c>
      <c r="G178" s="9">
        <v>140</v>
      </c>
      <c r="H178" s="10">
        <v>57.18</v>
      </c>
      <c r="N178" s="11">
        <v>140</v>
      </c>
      <c r="O178" s="12">
        <v>57.18</v>
      </c>
    </row>
    <row r="179" spans="2:15" x14ac:dyDescent="0.2">
      <c r="B179" s="8">
        <v>38503.371050115624</v>
      </c>
      <c r="C179" s="9" t="s">
        <v>36</v>
      </c>
      <c r="D179" s="9" t="s">
        <v>8</v>
      </c>
      <c r="E179" s="9" t="s">
        <v>25</v>
      </c>
      <c r="F179" s="9" t="s">
        <v>39</v>
      </c>
      <c r="G179" s="9">
        <v>510</v>
      </c>
      <c r="H179" s="10">
        <v>344.06</v>
      </c>
      <c r="N179" s="11">
        <v>510</v>
      </c>
      <c r="O179" s="12">
        <v>344.06</v>
      </c>
    </row>
    <row r="180" spans="2:15" x14ac:dyDescent="0.2">
      <c r="B180" s="8">
        <v>38503.869903854546</v>
      </c>
      <c r="C180" s="9" t="s">
        <v>36</v>
      </c>
      <c r="D180" s="9" t="s">
        <v>20</v>
      </c>
      <c r="E180" s="9" t="s">
        <v>25</v>
      </c>
      <c r="F180" s="9" t="s">
        <v>39</v>
      </c>
      <c r="G180" s="9">
        <v>830</v>
      </c>
      <c r="H180" s="10">
        <v>604.64</v>
      </c>
      <c r="N180" s="11">
        <v>830</v>
      </c>
      <c r="O180" s="12">
        <v>604.64</v>
      </c>
    </row>
    <row r="181" spans="2:15" x14ac:dyDescent="0.2">
      <c r="B181" s="8">
        <v>38506.143543018843</v>
      </c>
      <c r="C181" s="9" t="s">
        <v>2</v>
      </c>
      <c r="D181" s="9" t="s">
        <v>18</v>
      </c>
      <c r="E181" s="9" t="s">
        <v>25</v>
      </c>
      <c r="F181" s="9" t="s">
        <v>39</v>
      </c>
      <c r="G181" s="9">
        <v>770</v>
      </c>
      <c r="H181" s="10">
        <v>342.82</v>
      </c>
      <c r="N181" s="11">
        <v>770</v>
      </c>
      <c r="O181" s="12">
        <v>342.82</v>
      </c>
    </row>
    <row r="182" spans="2:15" x14ac:dyDescent="0.2">
      <c r="B182" s="8">
        <v>38506.446749428695</v>
      </c>
      <c r="C182" s="9" t="s">
        <v>2</v>
      </c>
      <c r="D182" s="9" t="s">
        <v>19</v>
      </c>
      <c r="E182" s="9" t="s">
        <v>25</v>
      </c>
      <c r="F182" s="9" t="s">
        <v>39</v>
      </c>
      <c r="G182" s="9">
        <v>135</v>
      </c>
      <c r="H182" s="10">
        <v>96.93</v>
      </c>
      <c r="N182" s="11">
        <v>135</v>
      </c>
      <c r="O182" s="12">
        <v>96.93</v>
      </c>
    </row>
    <row r="183" spans="2:15" x14ac:dyDescent="0.2">
      <c r="B183" s="8">
        <v>38511.750132488465</v>
      </c>
      <c r="C183" s="9" t="s">
        <v>2</v>
      </c>
      <c r="D183" s="9" t="s">
        <v>9</v>
      </c>
      <c r="E183" s="9" t="s">
        <v>25</v>
      </c>
      <c r="F183" s="9" t="s">
        <v>39</v>
      </c>
      <c r="G183" s="9">
        <v>40</v>
      </c>
      <c r="H183" s="10">
        <v>43.5</v>
      </c>
      <c r="N183" s="11">
        <v>40</v>
      </c>
      <c r="O183" s="12">
        <v>43.5</v>
      </c>
    </row>
    <row r="184" spans="2:15" x14ac:dyDescent="0.2">
      <c r="B184" s="8">
        <v>38512.519237026107</v>
      </c>
      <c r="C184" s="9" t="s">
        <v>0</v>
      </c>
      <c r="D184" s="9" t="s">
        <v>18</v>
      </c>
      <c r="E184" s="9" t="s">
        <v>25</v>
      </c>
      <c r="F184" s="9" t="s">
        <v>39</v>
      </c>
      <c r="G184" s="9">
        <v>55</v>
      </c>
      <c r="H184" s="10">
        <v>56.57</v>
      </c>
      <c r="N184" s="11">
        <v>55</v>
      </c>
      <c r="O184" s="12">
        <v>56.57</v>
      </c>
    </row>
    <row r="185" spans="2:15" x14ac:dyDescent="0.2">
      <c r="B185" s="8">
        <v>38522.652453154944</v>
      </c>
      <c r="C185" s="9" t="s">
        <v>0</v>
      </c>
      <c r="D185" s="9" t="s">
        <v>18</v>
      </c>
      <c r="E185" s="9" t="s">
        <v>25</v>
      </c>
      <c r="F185" s="9" t="s">
        <v>39</v>
      </c>
      <c r="G185" s="9">
        <v>665</v>
      </c>
      <c r="H185" s="10">
        <v>644.05999999999995</v>
      </c>
      <c r="N185" s="11">
        <v>665</v>
      </c>
      <c r="O185" s="12">
        <v>644.05999999999995</v>
      </c>
    </row>
    <row r="186" spans="2:15" x14ac:dyDescent="0.2">
      <c r="B186" s="8">
        <v>38525.360252248007</v>
      </c>
      <c r="C186" s="9" t="s">
        <v>4</v>
      </c>
      <c r="D186" s="9" t="s">
        <v>9</v>
      </c>
      <c r="E186" s="9" t="s">
        <v>25</v>
      </c>
      <c r="F186" s="9" t="s">
        <v>39</v>
      </c>
      <c r="G186" s="9">
        <v>505</v>
      </c>
      <c r="H186" s="10">
        <v>2313.0100000000002</v>
      </c>
      <c r="N186" s="11">
        <v>505</v>
      </c>
      <c r="O186" s="12">
        <v>2313.0100000000002</v>
      </c>
    </row>
    <row r="187" spans="2:15" x14ac:dyDescent="0.2">
      <c r="B187" s="8">
        <v>38527.833453033127</v>
      </c>
      <c r="C187" s="9" t="s">
        <v>0</v>
      </c>
      <c r="D187" s="9" t="s">
        <v>9</v>
      </c>
      <c r="E187" s="9" t="s">
        <v>25</v>
      </c>
      <c r="F187" s="9" t="s">
        <v>39</v>
      </c>
      <c r="G187" s="9">
        <v>40</v>
      </c>
      <c r="H187" s="10">
        <v>40.28</v>
      </c>
      <c r="N187" s="11">
        <v>40</v>
      </c>
      <c r="O187" s="12">
        <v>40.28</v>
      </c>
    </row>
    <row r="188" spans="2:15" x14ac:dyDescent="0.2">
      <c r="B188" s="8">
        <v>38529.984614829948</v>
      </c>
      <c r="C188" s="9" t="s">
        <v>37</v>
      </c>
      <c r="D188" s="9" t="s">
        <v>22</v>
      </c>
      <c r="E188" s="9" t="s">
        <v>25</v>
      </c>
      <c r="F188" s="9" t="s">
        <v>39</v>
      </c>
      <c r="G188" s="9">
        <v>295</v>
      </c>
      <c r="H188" s="10">
        <v>215.16</v>
      </c>
      <c r="N188" s="11">
        <v>295</v>
      </c>
      <c r="O188" s="12">
        <v>215.16</v>
      </c>
    </row>
    <row r="189" spans="2:15" x14ac:dyDescent="0.2">
      <c r="B189" s="8">
        <v>38532.091557279302</v>
      </c>
      <c r="C189" s="9" t="s">
        <v>4</v>
      </c>
      <c r="D189" s="9" t="s">
        <v>17</v>
      </c>
      <c r="E189" s="9" t="s">
        <v>25</v>
      </c>
      <c r="F189" s="9" t="s">
        <v>39</v>
      </c>
      <c r="G189" s="9">
        <v>440</v>
      </c>
      <c r="H189" s="10">
        <v>1293.47</v>
      </c>
      <c r="N189" s="11">
        <v>440</v>
      </c>
      <c r="O189" s="12">
        <v>1293.47</v>
      </c>
    </row>
    <row r="190" spans="2:15" x14ac:dyDescent="0.2">
      <c r="B190" s="8">
        <v>38534.991076412414</v>
      </c>
      <c r="C190" s="9" t="s">
        <v>0</v>
      </c>
      <c r="D190" s="9" t="s">
        <v>16</v>
      </c>
      <c r="E190" s="9" t="s">
        <v>25</v>
      </c>
      <c r="F190" s="9" t="s">
        <v>39</v>
      </c>
      <c r="G190" s="9">
        <v>690</v>
      </c>
      <c r="H190" s="10">
        <v>2574.77</v>
      </c>
      <c r="N190" s="11">
        <v>690</v>
      </c>
      <c r="O190" s="12">
        <v>2574.77</v>
      </c>
    </row>
    <row r="191" spans="2:15" x14ac:dyDescent="0.2">
      <c r="B191" s="8">
        <v>38571.20580097779</v>
      </c>
      <c r="C191" s="9" t="s">
        <v>4</v>
      </c>
      <c r="D191" s="9" t="s">
        <v>9</v>
      </c>
      <c r="E191" s="9" t="s">
        <v>25</v>
      </c>
      <c r="F191" s="9" t="s">
        <v>39</v>
      </c>
      <c r="G191" s="9">
        <v>285</v>
      </c>
      <c r="H191" s="10">
        <v>198.82</v>
      </c>
      <c r="N191" s="11">
        <v>285</v>
      </c>
      <c r="O191" s="12">
        <v>198.82</v>
      </c>
    </row>
    <row r="192" spans="2:15" x14ac:dyDescent="0.2">
      <c r="B192" s="8">
        <v>38429.738448938107</v>
      </c>
      <c r="C192" s="9" t="s">
        <v>2</v>
      </c>
      <c r="D192" s="9" t="s">
        <v>16</v>
      </c>
      <c r="E192" s="9" t="s">
        <v>25</v>
      </c>
      <c r="F192" s="9" t="s">
        <v>43</v>
      </c>
      <c r="G192" s="9">
        <v>95</v>
      </c>
      <c r="H192" s="10">
        <v>349.24</v>
      </c>
      <c r="N192" s="11">
        <v>95</v>
      </c>
      <c r="O192" s="12">
        <v>349.24</v>
      </c>
    </row>
    <row r="193" spans="2:15" x14ac:dyDescent="0.2">
      <c r="B193" s="8">
        <v>38440.79522832096</v>
      </c>
      <c r="C193" s="9" t="s">
        <v>1</v>
      </c>
      <c r="D193" s="9" t="s">
        <v>22</v>
      </c>
      <c r="E193" s="9" t="s">
        <v>25</v>
      </c>
      <c r="F193" s="9" t="s">
        <v>43</v>
      </c>
      <c r="G193" s="9">
        <v>765</v>
      </c>
      <c r="H193" s="10">
        <v>2466.41</v>
      </c>
      <c r="N193" s="11">
        <v>765</v>
      </c>
      <c r="O193" s="12">
        <v>2466.41</v>
      </c>
    </row>
    <row r="194" spans="2:15" x14ac:dyDescent="0.2">
      <c r="B194" s="8">
        <v>38445.867356571049</v>
      </c>
      <c r="C194" s="9" t="s">
        <v>1</v>
      </c>
      <c r="D194" s="9" t="s">
        <v>24</v>
      </c>
      <c r="E194" s="9" t="s">
        <v>25</v>
      </c>
      <c r="F194" s="9" t="s">
        <v>43</v>
      </c>
      <c r="G194" s="9">
        <v>635</v>
      </c>
      <c r="H194" s="10">
        <v>2002.72</v>
      </c>
      <c r="N194" s="11">
        <v>635</v>
      </c>
      <c r="O194" s="12">
        <v>2002.72</v>
      </c>
    </row>
    <row r="195" spans="2:15" x14ac:dyDescent="0.2">
      <c r="B195" s="8">
        <v>38457.104672375455</v>
      </c>
      <c r="C195" s="9" t="s">
        <v>37</v>
      </c>
      <c r="D195" s="9" t="s">
        <v>16</v>
      </c>
      <c r="E195" s="9" t="s">
        <v>25</v>
      </c>
      <c r="F195" s="9" t="s">
        <v>43</v>
      </c>
      <c r="G195" s="9">
        <v>530</v>
      </c>
      <c r="H195" s="10">
        <v>1945.81</v>
      </c>
      <c r="N195" s="11">
        <v>530</v>
      </c>
      <c r="O195" s="12">
        <v>1945.81</v>
      </c>
    </row>
    <row r="196" spans="2:15" x14ac:dyDescent="0.2">
      <c r="B196" s="8">
        <v>38458.92498304139</v>
      </c>
      <c r="C196" s="9" t="s">
        <v>2</v>
      </c>
      <c r="D196" s="9" t="s">
        <v>9</v>
      </c>
      <c r="E196" s="9" t="s">
        <v>25</v>
      </c>
      <c r="F196" s="9" t="s">
        <v>43</v>
      </c>
      <c r="G196" s="9">
        <v>795</v>
      </c>
      <c r="H196" s="10">
        <v>3912.08</v>
      </c>
      <c r="N196" s="11">
        <v>795</v>
      </c>
      <c r="O196" s="12">
        <v>3912.08</v>
      </c>
    </row>
    <row r="197" spans="2:15" x14ac:dyDescent="0.2">
      <c r="B197" s="8">
        <v>38470.886619232791</v>
      </c>
      <c r="C197" s="9" t="s">
        <v>37</v>
      </c>
      <c r="D197" s="9" t="s">
        <v>18</v>
      </c>
      <c r="E197" s="9" t="s">
        <v>25</v>
      </c>
      <c r="F197" s="9" t="s">
        <v>43</v>
      </c>
      <c r="G197" s="9">
        <v>375</v>
      </c>
      <c r="H197" s="10">
        <v>1774.32</v>
      </c>
      <c r="N197" s="11">
        <v>375</v>
      </c>
      <c r="O197" s="12">
        <v>1774.32</v>
      </c>
    </row>
    <row r="198" spans="2:15" x14ac:dyDescent="0.2">
      <c r="B198" s="8">
        <v>38481.361467594092</v>
      </c>
      <c r="C198" s="9" t="s">
        <v>3</v>
      </c>
      <c r="D198" s="9" t="s">
        <v>7</v>
      </c>
      <c r="E198" s="9" t="s">
        <v>25</v>
      </c>
      <c r="F198" s="9" t="s">
        <v>43</v>
      </c>
      <c r="G198" s="9">
        <v>160</v>
      </c>
      <c r="H198" s="10">
        <v>503.11</v>
      </c>
      <c r="N198" s="11">
        <v>160</v>
      </c>
      <c r="O198" s="12">
        <v>503.11</v>
      </c>
    </row>
    <row r="199" spans="2:15" x14ac:dyDescent="0.2">
      <c r="B199" s="8">
        <v>38492.521981829115</v>
      </c>
      <c r="C199" s="9" t="s">
        <v>1</v>
      </c>
      <c r="D199" s="9" t="s">
        <v>7</v>
      </c>
      <c r="E199" s="9" t="s">
        <v>25</v>
      </c>
      <c r="F199" s="9" t="s">
        <v>43</v>
      </c>
      <c r="G199" s="9">
        <v>145</v>
      </c>
      <c r="H199" s="10">
        <v>488.91</v>
      </c>
      <c r="N199" s="11">
        <v>145</v>
      </c>
      <c r="O199" s="12">
        <v>488.91</v>
      </c>
    </row>
    <row r="200" spans="2:15" x14ac:dyDescent="0.2">
      <c r="B200" s="8">
        <v>38504.067585266901</v>
      </c>
      <c r="C200" s="9" t="s">
        <v>36</v>
      </c>
      <c r="D200" s="9" t="s">
        <v>5</v>
      </c>
      <c r="E200" s="9" t="s">
        <v>25</v>
      </c>
      <c r="F200" s="9" t="s">
        <v>43</v>
      </c>
      <c r="G200" s="9">
        <v>495</v>
      </c>
      <c r="H200" s="10">
        <v>1768.32</v>
      </c>
      <c r="N200" s="11">
        <v>495</v>
      </c>
      <c r="O200" s="12">
        <v>1768.32</v>
      </c>
    </row>
    <row r="201" spans="2:15" x14ac:dyDescent="0.2">
      <c r="B201" s="8">
        <v>38504.074215622015</v>
      </c>
      <c r="C201" s="9" t="s">
        <v>4</v>
      </c>
      <c r="D201" s="9" t="s">
        <v>18</v>
      </c>
      <c r="E201" s="9" t="s">
        <v>25</v>
      </c>
      <c r="F201" s="9" t="s">
        <v>43</v>
      </c>
      <c r="G201" s="9">
        <v>140</v>
      </c>
      <c r="H201" s="10">
        <v>718.39</v>
      </c>
      <c r="N201" s="11">
        <v>140</v>
      </c>
      <c r="O201" s="12">
        <v>718.39</v>
      </c>
    </row>
    <row r="202" spans="2:15" x14ac:dyDescent="0.2">
      <c r="B202" s="8">
        <v>38505.597972810996</v>
      </c>
      <c r="C202" s="9" t="s">
        <v>0</v>
      </c>
      <c r="D202" s="9" t="s">
        <v>18</v>
      </c>
      <c r="E202" s="9" t="s">
        <v>25</v>
      </c>
      <c r="F202" s="9" t="s">
        <v>43</v>
      </c>
      <c r="G202" s="9">
        <v>955</v>
      </c>
      <c r="H202" s="10">
        <v>5181.1000000000004</v>
      </c>
      <c r="N202" s="11">
        <v>955</v>
      </c>
      <c r="O202" s="12">
        <v>5181.1000000000004</v>
      </c>
    </row>
    <row r="203" spans="2:15" x14ac:dyDescent="0.2">
      <c r="B203" s="8">
        <v>38534.405624520019</v>
      </c>
      <c r="C203" s="9" t="s">
        <v>36</v>
      </c>
      <c r="D203" s="9" t="s">
        <v>18</v>
      </c>
      <c r="E203" s="9" t="s">
        <v>25</v>
      </c>
      <c r="F203" s="9" t="s">
        <v>43</v>
      </c>
      <c r="G203" s="9">
        <v>880</v>
      </c>
      <c r="H203" s="10">
        <v>3241.56</v>
      </c>
      <c r="N203" s="11">
        <v>880</v>
      </c>
      <c r="O203" s="12">
        <v>3241.56</v>
      </c>
    </row>
    <row r="204" spans="2:15" x14ac:dyDescent="0.2">
      <c r="B204" s="8">
        <v>38563.767534189305</v>
      </c>
      <c r="C204" s="9" t="s">
        <v>4</v>
      </c>
      <c r="D204" s="9" t="s">
        <v>20</v>
      </c>
      <c r="E204" s="9" t="s">
        <v>25</v>
      </c>
      <c r="F204" s="9" t="s">
        <v>43</v>
      </c>
      <c r="G204" s="9">
        <v>685</v>
      </c>
      <c r="H204" s="10">
        <v>2343.4899999999998</v>
      </c>
      <c r="N204" s="11">
        <v>685</v>
      </c>
      <c r="O204" s="12">
        <v>2343.4899999999998</v>
      </c>
    </row>
    <row r="205" spans="2:15" x14ac:dyDescent="0.2">
      <c r="B205" s="8">
        <v>38450.367884188629</v>
      </c>
      <c r="C205" s="9" t="s">
        <v>2</v>
      </c>
      <c r="D205" s="9" t="s">
        <v>18</v>
      </c>
      <c r="E205" s="9" t="s">
        <v>25</v>
      </c>
      <c r="F205" s="9" t="s">
        <v>40</v>
      </c>
      <c r="G205" s="9">
        <v>510</v>
      </c>
      <c r="H205" s="10">
        <v>743.06</v>
      </c>
      <c r="N205" s="11">
        <v>510</v>
      </c>
      <c r="O205" s="12">
        <v>743.06</v>
      </c>
    </row>
    <row r="206" spans="2:15" x14ac:dyDescent="0.2">
      <c r="B206" s="8">
        <v>38461.583673806999</v>
      </c>
      <c r="C206" s="9" t="s">
        <v>37</v>
      </c>
      <c r="D206" s="9" t="s">
        <v>10</v>
      </c>
      <c r="E206" s="9" t="s">
        <v>25</v>
      </c>
      <c r="F206" s="9" t="s">
        <v>40</v>
      </c>
      <c r="G206" s="9">
        <v>920</v>
      </c>
      <c r="H206" s="10">
        <v>1346.2</v>
      </c>
      <c r="N206" s="11">
        <v>920</v>
      </c>
      <c r="O206" s="12">
        <v>1346.2</v>
      </c>
    </row>
    <row r="207" spans="2:15" x14ac:dyDescent="0.2">
      <c r="B207" s="8">
        <v>38468.902975448953</v>
      </c>
      <c r="C207" s="9" t="s">
        <v>2</v>
      </c>
      <c r="D207" s="9" t="s">
        <v>18</v>
      </c>
      <c r="E207" s="9" t="s">
        <v>25</v>
      </c>
      <c r="F207" s="9" t="s">
        <v>40</v>
      </c>
      <c r="G207" s="9">
        <v>950</v>
      </c>
      <c r="H207" s="10">
        <v>1970.76</v>
      </c>
      <c r="N207" s="11">
        <v>950</v>
      </c>
      <c r="O207" s="12">
        <v>1970.76</v>
      </c>
    </row>
    <row r="208" spans="2:15" x14ac:dyDescent="0.2">
      <c r="B208" s="8">
        <v>38470.979298391117</v>
      </c>
      <c r="C208" s="9" t="s">
        <v>2</v>
      </c>
      <c r="D208" s="9" t="s">
        <v>22</v>
      </c>
      <c r="E208" s="9" t="s">
        <v>25</v>
      </c>
      <c r="F208" s="9" t="s">
        <v>40</v>
      </c>
      <c r="G208" s="9">
        <v>950</v>
      </c>
      <c r="H208" s="10">
        <v>1205.7</v>
      </c>
      <c r="N208" s="11">
        <v>950</v>
      </c>
      <c r="O208" s="12">
        <v>1205.7</v>
      </c>
    </row>
    <row r="209" spans="2:15" x14ac:dyDescent="0.2">
      <c r="B209" s="8">
        <v>38483.837588033777</v>
      </c>
      <c r="C209" s="9" t="s">
        <v>2</v>
      </c>
      <c r="D209" s="9" t="s">
        <v>18</v>
      </c>
      <c r="E209" s="9" t="s">
        <v>25</v>
      </c>
      <c r="F209" s="9" t="s">
        <v>40</v>
      </c>
      <c r="G209" s="9">
        <v>440</v>
      </c>
      <c r="H209" s="10">
        <v>581.11</v>
      </c>
      <c r="N209" s="11">
        <v>440</v>
      </c>
      <c r="O209" s="12">
        <v>581.11</v>
      </c>
    </row>
    <row r="210" spans="2:15" x14ac:dyDescent="0.2">
      <c r="B210" s="8">
        <v>38513.817517922398</v>
      </c>
      <c r="C210" s="9" t="s">
        <v>0</v>
      </c>
      <c r="D210" s="9" t="s">
        <v>18</v>
      </c>
      <c r="E210" s="9" t="s">
        <v>25</v>
      </c>
      <c r="F210" s="9" t="s">
        <v>40</v>
      </c>
      <c r="G210" s="9">
        <v>505</v>
      </c>
      <c r="H210" s="10">
        <v>734.11</v>
      </c>
      <c r="N210" s="11">
        <v>505</v>
      </c>
      <c r="O210" s="12">
        <v>734.11</v>
      </c>
    </row>
    <row r="211" spans="2:15" x14ac:dyDescent="0.2">
      <c r="B211" s="8">
        <v>38451.899413907253</v>
      </c>
      <c r="C211" s="9" t="s">
        <v>3</v>
      </c>
      <c r="D211" s="9" t="s">
        <v>24</v>
      </c>
      <c r="E211" s="9" t="s">
        <v>25</v>
      </c>
      <c r="F211" s="9" t="s">
        <v>28</v>
      </c>
      <c r="G211" s="9">
        <v>740</v>
      </c>
      <c r="H211" s="10">
        <v>2156.4699999999998</v>
      </c>
      <c r="N211" s="11">
        <v>740</v>
      </c>
      <c r="O211" s="12">
        <v>2156.4699999999998</v>
      </c>
    </row>
    <row r="212" spans="2:15" x14ac:dyDescent="0.2">
      <c r="B212" s="8">
        <v>38461.017295312966</v>
      </c>
      <c r="C212" s="9" t="s">
        <v>3</v>
      </c>
      <c r="D212" s="9" t="s">
        <v>10</v>
      </c>
      <c r="E212" s="9" t="s">
        <v>25</v>
      </c>
      <c r="F212" s="9" t="s">
        <v>28</v>
      </c>
      <c r="G212" s="9">
        <v>735</v>
      </c>
      <c r="H212" s="10">
        <v>1874.23</v>
      </c>
      <c r="N212" s="11">
        <v>735</v>
      </c>
      <c r="O212" s="12">
        <v>1874.23</v>
      </c>
    </row>
    <row r="213" spans="2:15" x14ac:dyDescent="0.2">
      <c r="B213" s="8">
        <v>38462.413214898712</v>
      </c>
      <c r="C213" s="9" t="s">
        <v>1</v>
      </c>
      <c r="D213" s="9" t="s">
        <v>11</v>
      </c>
      <c r="E213" s="9" t="s">
        <v>25</v>
      </c>
      <c r="F213" s="9" t="s">
        <v>28</v>
      </c>
      <c r="G213" s="9">
        <v>440</v>
      </c>
      <c r="H213" s="10">
        <v>1118.19</v>
      </c>
      <c r="N213" s="11">
        <v>440</v>
      </c>
      <c r="O213" s="12">
        <v>1118.19</v>
      </c>
    </row>
    <row r="214" spans="2:15" x14ac:dyDescent="0.2">
      <c r="B214" s="8">
        <v>38465.224519692187</v>
      </c>
      <c r="C214" s="9" t="s">
        <v>2</v>
      </c>
      <c r="D214" s="9" t="s">
        <v>18</v>
      </c>
      <c r="E214" s="9" t="s">
        <v>25</v>
      </c>
      <c r="F214" s="9" t="s">
        <v>28</v>
      </c>
      <c r="G214" s="9">
        <v>720</v>
      </c>
      <c r="H214" s="10">
        <v>2014.77</v>
      </c>
      <c r="N214" s="11">
        <v>720</v>
      </c>
      <c r="O214" s="12">
        <v>2014.77</v>
      </c>
    </row>
    <row r="215" spans="2:15" x14ac:dyDescent="0.2">
      <c r="B215" s="8">
        <v>38465.428697474556</v>
      </c>
      <c r="C215" s="9" t="s">
        <v>0</v>
      </c>
      <c r="D215" s="9" t="s">
        <v>18</v>
      </c>
      <c r="E215" s="9" t="s">
        <v>25</v>
      </c>
      <c r="F215" s="9" t="s">
        <v>28</v>
      </c>
      <c r="G215" s="9">
        <v>625</v>
      </c>
      <c r="H215" s="10">
        <v>2198.1</v>
      </c>
      <c r="N215" s="11">
        <v>625</v>
      </c>
      <c r="O215" s="12">
        <v>2198.1</v>
      </c>
    </row>
    <row r="216" spans="2:15" x14ac:dyDescent="0.2">
      <c r="B216" s="8">
        <v>38489.427218937948</v>
      </c>
      <c r="C216" s="9" t="s">
        <v>37</v>
      </c>
      <c r="D216" s="9" t="s">
        <v>10</v>
      </c>
      <c r="E216" s="9" t="s">
        <v>25</v>
      </c>
      <c r="F216" s="9" t="s">
        <v>28</v>
      </c>
      <c r="G216" s="9">
        <v>520</v>
      </c>
      <c r="H216" s="10">
        <v>1330.83</v>
      </c>
      <c r="N216" s="11">
        <v>520</v>
      </c>
      <c r="O216" s="12">
        <v>1330.83</v>
      </c>
    </row>
    <row r="217" spans="2:15" x14ac:dyDescent="0.2">
      <c r="B217" s="8">
        <v>38498.715392262464</v>
      </c>
      <c r="C217" s="9" t="s">
        <v>37</v>
      </c>
      <c r="D217" s="9" t="s">
        <v>18</v>
      </c>
      <c r="E217" s="9" t="s">
        <v>25</v>
      </c>
      <c r="F217" s="9" t="s">
        <v>28</v>
      </c>
      <c r="G217" s="9">
        <v>520</v>
      </c>
      <c r="H217" s="10">
        <v>2418.7199999999998</v>
      </c>
      <c r="N217" s="11">
        <v>520</v>
      </c>
      <c r="O217" s="12">
        <v>2418.7199999999998</v>
      </c>
    </row>
    <row r="218" spans="2:15" x14ac:dyDescent="0.2">
      <c r="B218" s="8">
        <v>38517.388818623673</v>
      </c>
      <c r="C218" s="9" t="s">
        <v>4</v>
      </c>
      <c r="D218" s="9" t="s">
        <v>7</v>
      </c>
      <c r="E218" s="9" t="s">
        <v>25</v>
      </c>
      <c r="F218" s="9" t="s">
        <v>28</v>
      </c>
      <c r="G218" s="9">
        <v>95</v>
      </c>
      <c r="H218" s="10">
        <v>246</v>
      </c>
      <c r="N218" s="11">
        <v>95</v>
      </c>
      <c r="O218" s="12">
        <v>246</v>
      </c>
    </row>
    <row r="219" spans="2:15" x14ac:dyDescent="0.2">
      <c r="B219" s="8">
        <v>38524.580725806023</v>
      </c>
      <c r="C219" s="9" t="s">
        <v>37</v>
      </c>
      <c r="D219" s="9" t="s">
        <v>16</v>
      </c>
      <c r="E219" s="9" t="s">
        <v>25</v>
      </c>
      <c r="F219" s="9" t="s">
        <v>28</v>
      </c>
      <c r="G219" s="9">
        <v>955</v>
      </c>
      <c r="H219" s="10">
        <v>2580.19</v>
      </c>
      <c r="N219" s="11">
        <v>955</v>
      </c>
      <c r="O219" s="12">
        <v>2580.19</v>
      </c>
    </row>
    <row r="220" spans="2:15" x14ac:dyDescent="0.2">
      <c r="B220" s="8">
        <v>38451.528218503103</v>
      </c>
      <c r="C220" s="9" t="s">
        <v>0</v>
      </c>
      <c r="D220" s="9" t="s">
        <v>18</v>
      </c>
      <c r="E220" s="9" t="s">
        <v>25</v>
      </c>
      <c r="F220" s="9" t="s">
        <v>41</v>
      </c>
      <c r="G220" s="9">
        <v>425</v>
      </c>
      <c r="H220" s="10">
        <v>1376.41</v>
      </c>
      <c r="N220" s="11">
        <v>425</v>
      </c>
      <c r="O220" s="12">
        <v>1376.41</v>
      </c>
    </row>
    <row r="221" spans="2:15" x14ac:dyDescent="0.2">
      <c r="B221" s="8">
        <v>38455.795931291883</v>
      </c>
      <c r="C221" s="9" t="s">
        <v>37</v>
      </c>
      <c r="D221" s="9" t="s">
        <v>16</v>
      </c>
      <c r="E221" s="9" t="s">
        <v>25</v>
      </c>
      <c r="F221" s="9" t="s">
        <v>41</v>
      </c>
      <c r="G221" s="9">
        <v>675</v>
      </c>
      <c r="H221" s="10">
        <v>1513.81</v>
      </c>
      <c r="N221" s="11">
        <v>675</v>
      </c>
      <c r="O221" s="12">
        <v>1513.81</v>
      </c>
    </row>
    <row r="222" spans="2:15" x14ac:dyDescent="0.2">
      <c r="B222" s="8">
        <v>38455.796169425936</v>
      </c>
      <c r="C222" s="9" t="s">
        <v>1</v>
      </c>
      <c r="D222" s="9" t="s">
        <v>19</v>
      </c>
      <c r="E222" s="9" t="s">
        <v>25</v>
      </c>
      <c r="F222" s="9" t="s">
        <v>41</v>
      </c>
      <c r="G222" s="9">
        <v>245</v>
      </c>
      <c r="H222" s="10">
        <v>500.87</v>
      </c>
      <c r="N222" s="11">
        <v>245</v>
      </c>
      <c r="O222" s="12">
        <v>500.87</v>
      </c>
    </row>
    <row r="223" spans="2:15" x14ac:dyDescent="0.2">
      <c r="B223" s="8">
        <v>38456.448092118102</v>
      </c>
      <c r="C223" s="9" t="s">
        <v>3</v>
      </c>
      <c r="D223" s="9" t="s">
        <v>5</v>
      </c>
      <c r="E223" s="9" t="s">
        <v>25</v>
      </c>
      <c r="F223" s="9" t="s">
        <v>41</v>
      </c>
      <c r="G223" s="9">
        <v>795</v>
      </c>
      <c r="H223" s="10">
        <v>1502.46</v>
      </c>
      <c r="N223" s="11">
        <v>795</v>
      </c>
      <c r="O223" s="12">
        <v>1502.46</v>
      </c>
    </row>
    <row r="224" spans="2:15" x14ac:dyDescent="0.2">
      <c r="B224" s="8">
        <v>38470.301361717342</v>
      </c>
      <c r="C224" s="9" t="s">
        <v>2</v>
      </c>
      <c r="D224" s="9" t="s">
        <v>14</v>
      </c>
      <c r="E224" s="9" t="s">
        <v>25</v>
      </c>
      <c r="F224" s="9" t="s">
        <v>41</v>
      </c>
      <c r="G224" s="9">
        <v>130</v>
      </c>
      <c r="H224" s="10">
        <v>275.98</v>
      </c>
      <c r="N224" s="11">
        <v>130</v>
      </c>
      <c r="O224" s="12">
        <v>275.98</v>
      </c>
    </row>
    <row r="225" spans="2:15" x14ac:dyDescent="0.2">
      <c r="B225" s="8">
        <v>38483.018804945699</v>
      </c>
      <c r="C225" s="9" t="s">
        <v>37</v>
      </c>
      <c r="D225" s="9" t="s">
        <v>21</v>
      </c>
      <c r="E225" s="9" t="s">
        <v>25</v>
      </c>
      <c r="F225" s="9" t="s">
        <v>41</v>
      </c>
      <c r="G225" s="9">
        <v>400</v>
      </c>
      <c r="H225" s="10">
        <v>869.45</v>
      </c>
      <c r="N225" s="11">
        <v>400</v>
      </c>
      <c r="O225" s="12">
        <v>869.45</v>
      </c>
    </row>
    <row r="226" spans="2:15" x14ac:dyDescent="0.2">
      <c r="B226" s="8">
        <v>38489.633348071322</v>
      </c>
      <c r="C226" s="9" t="s">
        <v>37</v>
      </c>
      <c r="D226" s="9" t="s">
        <v>21</v>
      </c>
      <c r="E226" s="9" t="s">
        <v>25</v>
      </c>
      <c r="F226" s="9" t="s">
        <v>41</v>
      </c>
      <c r="G226" s="9">
        <v>730</v>
      </c>
      <c r="H226" s="10">
        <v>1488.03</v>
      </c>
      <c r="N226" s="11">
        <v>730</v>
      </c>
      <c r="O226" s="12">
        <v>1488.03</v>
      </c>
    </row>
    <row r="227" spans="2:15" x14ac:dyDescent="0.2">
      <c r="B227" s="8">
        <v>38496.547692689717</v>
      </c>
      <c r="C227" s="9" t="s">
        <v>37</v>
      </c>
      <c r="D227" s="9" t="s">
        <v>17</v>
      </c>
      <c r="E227" s="9" t="s">
        <v>25</v>
      </c>
      <c r="F227" s="9" t="s">
        <v>41</v>
      </c>
      <c r="G227" s="9">
        <v>960</v>
      </c>
      <c r="H227" s="10">
        <v>2047.3</v>
      </c>
      <c r="N227" s="11">
        <v>960</v>
      </c>
      <c r="O227" s="12">
        <v>2047.3</v>
      </c>
    </row>
    <row r="228" spans="2:15" x14ac:dyDescent="0.2">
      <c r="B228" s="8">
        <v>38517.756176619951</v>
      </c>
      <c r="C228" s="9" t="s">
        <v>37</v>
      </c>
      <c r="D228" s="9" t="s">
        <v>15</v>
      </c>
      <c r="E228" s="9" t="s">
        <v>25</v>
      </c>
      <c r="F228" s="9" t="s">
        <v>41</v>
      </c>
      <c r="G228" s="9">
        <v>310</v>
      </c>
      <c r="H228" s="10">
        <v>621.45000000000005</v>
      </c>
      <c r="N228" s="11">
        <v>310</v>
      </c>
      <c r="O228" s="12">
        <v>621.45000000000005</v>
      </c>
    </row>
    <row r="229" spans="2:15" x14ac:dyDescent="0.2">
      <c r="B229" s="8">
        <v>38580.076861801848</v>
      </c>
      <c r="C229" s="9" t="s">
        <v>0</v>
      </c>
      <c r="D229" s="9" t="s">
        <v>7</v>
      </c>
      <c r="E229" s="9" t="s">
        <v>25</v>
      </c>
      <c r="F229" s="9" t="s">
        <v>41</v>
      </c>
      <c r="G229" s="9">
        <v>975</v>
      </c>
      <c r="H229" s="10">
        <v>1834.25</v>
      </c>
      <c r="N229" s="11">
        <v>975</v>
      </c>
      <c r="O229" s="12">
        <v>1834.25</v>
      </c>
    </row>
    <row r="230" spans="2:15" x14ac:dyDescent="0.2">
      <c r="B230" s="8">
        <v>38590.531868099577</v>
      </c>
      <c r="C230" s="9" t="s">
        <v>4</v>
      </c>
      <c r="D230" s="9" t="s">
        <v>13</v>
      </c>
      <c r="E230" s="9" t="s">
        <v>25</v>
      </c>
      <c r="F230" s="9" t="s">
        <v>41</v>
      </c>
      <c r="G230" s="9">
        <v>60</v>
      </c>
      <c r="H230" s="10">
        <v>134.16</v>
      </c>
      <c r="N230" s="11">
        <v>60</v>
      </c>
      <c r="O230" s="12">
        <v>134.16</v>
      </c>
    </row>
    <row r="231" spans="2:15" x14ac:dyDescent="0.2">
      <c r="B231" s="8">
        <v>38410.433606750827</v>
      </c>
      <c r="C231" s="9" t="s">
        <v>37</v>
      </c>
      <c r="D231" s="9" t="s">
        <v>13</v>
      </c>
      <c r="E231" s="9" t="s">
        <v>25</v>
      </c>
      <c r="F231" s="9" t="s">
        <v>27</v>
      </c>
      <c r="G231" s="9">
        <v>815</v>
      </c>
      <c r="H231" s="10">
        <v>2564</v>
      </c>
      <c r="N231" s="11">
        <v>815</v>
      </c>
      <c r="O231" s="12">
        <v>2564</v>
      </c>
    </row>
    <row r="232" spans="2:15" x14ac:dyDescent="0.2">
      <c r="B232" s="8">
        <v>38460.06335496933</v>
      </c>
      <c r="C232" s="9" t="s">
        <v>0</v>
      </c>
      <c r="D232" s="9" t="s">
        <v>18</v>
      </c>
      <c r="E232" s="9" t="s">
        <v>25</v>
      </c>
      <c r="F232" s="9" t="s">
        <v>27</v>
      </c>
      <c r="G232" s="9">
        <v>835</v>
      </c>
      <c r="H232" s="10">
        <v>2524.39</v>
      </c>
      <c r="N232" s="11">
        <v>835</v>
      </c>
      <c r="O232" s="12">
        <v>2524.39</v>
      </c>
    </row>
    <row r="233" spans="2:15" x14ac:dyDescent="0.2">
      <c r="B233" s="8">
        <v>38464.014275481975</v>
      </c>
      <c r="C233" s="9" t="s">
        <v>1</v>
      </c>
      <c r="D233" s="9" t="s">
        <v>6</v>
      </c>
      <c r="E233" s="9" t="s">
        <v>25</v>
      </c>
      <c r="F233" s="9" t="s">
        <v>27</v>
      </c>
      <c r="G233" s="9">
        <v>290</v>
      </c>
      <c r="H233" s="10">
        <v>573.73</v>
      </c>
      <c r="N233" s="11">
        <v>290</v>
      </c>
      <c r="O233" s="12">
        <v>573.73</v>
      </c>
    </row>
    <row r="234" spans="2:15" x14ac:dyDescent="0.2">
      <c r="B234" s="8">
        <v>38475.983660759259</v>
      </c>
      <c r="C234" s="9" t="s">
        <v>1</v>
      </c>
      <c r="D234" s="9" t="s">
        <v>8</v>
      </c>
      <c r="E234" s="9" t="s">
        <v>25</v>
      </c>
      <c r="F234" s="9" t="s">
        <v>27</v>
      </c>
      <c r="G234" s="9">
        <v>800</v>
      </c>
      <c r="H234" s="10">
        <v>1594.81</v>
      </c>
      <c r="N234" s="11">
        <v>800</v>
      </c>
      <c r="O234" s="12">
        <v>1594.81</v>
      </c>
    </row>
    <row r="235" spans="2:15" x14ac:dyDescent="0.2">
      <c r="B235" s="8">
        <v>38477.757414536187</v>
      </c>
      <c r="C235" s="9" t="s">
        <v>1</v>
      </c>
      <c r="D235" s="9" t="s">
        <v>18</v>
      </c>
      <c r="E235" s="9" t="s">
        <v>25</v>
      </c>
      <c r="F235" s="9" t="s">
        <v>27</v>
      </c>
      <c r="G235" s="9">
        <v>905</v>
      </c>
      <c r="H235" s="10">
        <v>2673.33</v>
      </c>
      <c r="N235" s="11">
        <v>905</v>
      </c>
      <c r="O235" s="12">
        <v>2673.33</v>
      </c>
    </row>
    <row r="236" spans="2:15" x14ac:dyDescent="0.2">
      <c r="B236" s="8">
        <v>38483.566367878469</v>
      </c>
      <c r="C236" s="9" t="s">
        <v>3</v>
      </c>
      <c r="D236" s="9" t="s">
        <v>21</v>
      </c>
      <c r="E236" s="9" t="s">
        <v>25</v>
      </c>
      <c r="F236" s="9" t="s">
        <v>27</v>
      </c>
      <c r="G236" s="9">
        <v>145</v>
      </c>
      <c r="H236" s="10">
        <v>312.55</v>
      </c>
      <c r="N236" s="11">
        <v>145</v>
      </c>
      <c r="O236" s="12">
        <v>312.55</v>
      </c>
    </row>
    <row r="237" spans="2:15" x14ac:dyDescent="0.2">
      <c r="B237" s="8">
        <v>38490.535499195081</v>
      </c>
      <c r="C237" s="9" t="s">
        <v>37</v>
      </c>
      <c r="D237" s="9" t="s">
        <v>6</v>
      </c>
      <c r="E237" s="9" t="s">
        <v>25</v>
      </c>
      <c r="F237" s="9" t="s">
        <v>27</v>
      </c>
      <c r="G237" s="9">
        <v>185</v>
      </c>
      <c r="H237" s="10">
        <v>379.72</v>
      </c>
      <c r="N237" s="11">
        <v>185</v>
      </c>
      <c r="O237" s="12">
        <v>379.72</v>
      </c>
    </row>
    <row r="238" spans="2:15" x14ac:dyDescent="0.2">
      <c r="B238" s="8">
        <v>38490.760700159321</v>
      </c>
      <c r="C238" s="9" t="s">
        <v>37</v>
      </c>
      <c r="D238" s="9" t="s">
        <v>20</v>
      </c>
      <c r="E238" s="9" t="s">
        <v>25</v>
      </c>
      <c r="F238" s="9" t="s">
        <v>27</v>
      </c>
      <c r="G238" s="9">
        <v>360</v>
      </c>
      <c r="H238" s="10">
        <v>696.22</v>
      </c>
      <c r="N238" s="11">
        <v>360</v>
      </c>
      <c r="O238" s="12">
        <v>696.22</v>
      </c>
    </row>
    <row r="239" spans="2:15" x14ac:dyDescent="0.2">
      <c r="B239" s="8">
        <v>38493.843400308841</v>
      </c>
      <c r="C239" s="9" t="s">
        <v>4</v>
      </c>
      <c r="D239" s="9" t="s">
        <v>20</v>
      </c>
      <c r="E239" s="9" t="s">
        <v>25</v>
      </c>
      <c r="F239" s="9" t="s">
        <v>27</v>
      </c>
      <c r="G239" s="9">
        <v>630</v>
      </c>
      <c r="H239" s="10">
        <v>1335.69</v>
      </c>
      <c r="N239" s="11">
        <v>630</v>
      </c>
      <c r="O239" s="12">
        <v>1335.69</v>
      </c>
    </row>
    <row r="240" spans="2:15" x14ac:dyDescent="0.2">
      <c r="B240" s="8">
        <v>38497.305965282452</v>
      </c>
      <c r="C240" s="9" t="s">
        <v>36</v>
      </c>
      <c r="D240" s="9" t="s">
        <v>19</v>
      </c>
      <c r="E240" s="9" t="s">
        <v>25</v>
      </c>
      <c r="F240" s="9" t="s">
        <v>27</v>
      </c>
      <c r="G240" s="9">
        <v>685</v>
      </c>
      <c r="H240" s="10">
        <v>1443.07</v>
      </c>
      <c r="N240" s="11">
        <v>685</v>
      </c>
      <c r="O240" s="12">
        <v>1443.07</v>
      </c>
    </row>
    <row r="241" spans="2:15" x14ac:dyDescent="0.2">
      <c r="B241" s="8">
        <v>38501.869321122882</v>
      </c>
      <c r="C241" s="9" t="s">
        <v>36</v>
      </c>
      <c r="D241" s="9" t="s">
        <v>17</v>
      </c>
      <c r="E241" s="9" t="s">
        <v>25</v>
      </c>
      <c r="F241" s="9" t="s">
        <v>27</v>
      </c>
      <c r="G241" s="9">
        <v>375</v>
      </c>
      <c r="H241" s="10">
        <v>1090.97</v>
      </c>
      <c r="N241" s="11">
        <v>375</v>
      </c>
      <c r="O241" s="12">
        <v>1090.97</v>
      </c>
    </row>
    <row r="242" spans="2:15" x14ac:dyDescent="0.2">
      <c r="B242" s="8">
        <v>38502.563020479603</v>
      </c>
      <c r="C242" s="9" t="s">
        <v>0</v>
      </c>
      <c r="D242" s="9" t="s">
        <v>5</v>
      </c>
      <c r="E242" s="9" t="s">
        <v>25</v>
      </c>
      <c r="F242" s="9" t="s">
        <v>27</v>
      </c>
      <c r="G242" s="9">
        <v>90</v>
      </c>
      <c r="H242" s="10">
        <v>256.77999999999997</v>
      </c>
      <c r="N242" s="11">
        <v>90</v>
      </c>
      <c r="O242" s="12">
        <v>256.77999999999997</v>
      </c>
    </row>
    <row r="243" spans="2:15" x14ac:dyDescent="0.2">
      <c r="B243" s="8">
        <v>38511.598387722959</v>
      </c>
      <c r="C243" s="9" t="s">
        <v>0</v>
      </c>
      <c r="D243" s="9" t="s">
        <v>17</v>
      </c>
      <c r="E243" s="9" t="s">
        <v>25</v>
      </c>
      <c r="F243" s="9" t="s">
        <v>27</v>
      </c>
      <c r="G243" s="9">
        <v>120</v>
      </c>
      <c r="H243" s="10">
        <v>424.27</v>
      </c>
      <c r="N243" s="11">
        <v>120</v>
      </c>
      <c r="O243" s="12">
        <v>424.27</v>
      </c>
    </row>
    <row r="244" spans="2:15" x14ac:dyDescent="0.2">
      <c r="B244" s="8">
        <v>38514.841581975052</v>
      </c>
      <c r="C244" s="9" t="s">
        <v>3</v>
      </c>
      <c r="D244" s="9" t="s">
        <v>13</v>
      </c>
      <c r="E244" s="9" t="s">
        <v>25</v>
      </c>
      <c r="F244" s="9" t="s">
        <v>27</v>
      </c>
      <c r="G244" s="9">
        <v>35</v>
      </c>
      <c r="H244" s="10">
        <v>185.62</v>
      </c>
      <c r="N244" s="11">
        <v>35</v>
      </c>
      <c r="O244" s="12">
        <v>185.62</v>
      </c>
    </row>
    <row r="245" spans="2:15" x14ac:dyDescent="0.2">
      <c r="B245" s="8">
        <v>38515.674679576776</v>
      </c>
      <c r="C245" s="9" t="s">
        <v>37</v>
      </c>
      <c r="D245" s="9" t="s">
        <v>8</v>
      </c>
      <c r="E245" s="9" t="s">
        <v>25</v>
      </c>
      <c r="F245" s="9" t="s">
        <v>27</v>
      </c>
      <c r="G245" s="9">
        <v>300</v>
      </c>
      <c r="H245" s="10">
        <v>639.36</v>
      </c>
      <c r="N245" s="11">
        <v>300</v>
      </c>
      <c r="O245" s="12">
        <v>639.36</v>
      </c>
    </row>
    <row r="246" spans="2:15" x14ac:dyDescent="0.2">
      <c r="B246" s="8">
        <v>38520.400675806479</v>
      </c>
      <c r="C246" s="9" t="s">
        <v>0</v>
      </c>
      <c r="D246" s="9" t="s">
        <v>17</v>
      </c>
      <c r="E246" s="9" t="s">
        <v>25</v>
      </c>
      <c r="F246" s="9" t="s">
        <v>27</v>
      </c>
      <c r="G246" s="9">
        <v>295</v>
      </c>
      <c r="H246" s="10">
        <v>1453.51</v>
      </c>
      <c r="N246" s="11">
        <v>295</v>
      </c>
      <c r="O246" s="12">
        <v>1453.51</v>
      </c>
    </row>
    <row r="247" spans="2:15" x14ac:dyDescent="0.2">
      <c r="B247" s="8">
        <v>38521.601112933538</v>
      </c>
      <c r="C247" s="9" t="s">
        <v>2</v>
      </c>
      <c r="D247" s="9" t="s">
        <v>22</v>
      </c>
      <c r="E247" s="9" t="s">
        <v>25</v>
      </c>
      <c r="F247" s="9" t="s">
        <v>27</v>
      </c>
      <c r="G247" s="9">
        <v>360</v>
      </c>
      <c r="H247" s="10">
        <v>705.03</v>
      </c>
      <c r="N247" s="11">
        <v>360</v>
      </c>
      <c r="O247" s="12">
        <v>705.03</v>
      </c>
    </row>
    <row r="248" spans="2:15" x14ac:dyDescent="0.2">
      <c r="B248" s="8">
        <v>38523.787206717177</v>
      </c>
      <c r="C248" s="9" t="s">
        <v>36</v>
      </c>
      <c r="D248" s="9" t="s">
        <v>10</v>
      </c>
      <c r="E248" s="9" t="s">
        <v>25</v>
      </c>
      <c r="F248" s="9" t="s">
        <v>27</v>
      </c>
      <c r="G248" s="9">
        <v>825</v>
      </c>
      <c r="H248" s="10">
        <v>3018.4</v>
      </c>
      <c r="N248" s="11">
        <v>825</v>
      </c>
      <c r="O248" s="12">
        <v>3018.4</v>
      </c>
    </row>
    <row r="249" spans="2:15" x14ac:dyDescent="0.2">
      <c r="B249" s="8">
        <v>38525.055927564921</v>
      </c>
      <c r="C249" s="9" t="s">
        <v>4</v>
      </c>
      <c r="D249" s="9" t="s">
        <v>24</v>
      </c>
      <c r="E249" s="9" t="s">
        <v>25</v>
      </c>
      <c r="F249" s="9" t="s">
        <v>27</v>
      </c>
      <c r="G249" s="9">
        <v>950</v>
      </c>
      <c r="H249" s="10">
        <v>2064.66</v>
      </c>
      <c r="N249" s="11">
        <v>950</v>
      </c>
      <c r="O249" s="12">
        <v>2064.66</v>
      </c>
    </row>
    <row r="250" spans="2:15" x14ac:dyDescent="0.2">
      <c r="B250" s="8">
        <v>38531.744024914849</v>
      </c>
      <c r="C250" s="9" t="s">
        <v>0</v>
      </c>
      <c r="D250" s="9" t="s">
        <v>13</v>
      </c>
      <c r="E250" s="9" t="s">
        <v>25</v>
      </c>
      <c r="F250" s="9" t="s">
        <v>27</v>
      </c>
      <c r="G250" s="9">
        <v>50</v>
      </c>
      <c r="H250" s="10">
        <v>57.54</v>
      </c>
      <c r="N250" s="11">
        <v>50</v>
      </c>
      <c r="O250" s="12">
        <v>57.54</v>
      </c>
    </row>
    <row r="251" spans="2:15" x14ac:dyDescent="0.2">
      <c r="B251" s="8">
        <v>38541.053042089916</v>
      </c>
      <c r="C251" s="9" t="s">
        <v>0</v>
      </c>
      <c r="D251" s="9" t="s">
        <v>19</v>
      </c>
      <c r="E251" s="9" t="s">
        <v>25</v>
      </c>
      <c r="F251" s="9" t="s">
        <v>27</v>
      </c>
      <c r="G251" s="9">
        <v>145</v>
      </c>
      <c r="H251" s="10">
        <v>718.78</v>
      </c>
      <c r="N251" s="11">
        <v>145</v>
      </c>
      <c r="O251" s="12">
        <v>718.78</v>
      </c>
    </row>
    <row r="252" spans="2:15" x14ac:dyDescent="0.2">
      <c r="B252" s="8">
        <v>38572.218413531737</v>
      </c>
      <c r="C252" s="9" t="s">
        <v>37</v>
      </c>
      <c r="D252" s="9" t="s">
        <v>18</v>
      </c>
      <c r="E252" s="9" t="s">
        <v>25</v>
      </c>
      <c r="F252" s="9" t="s">
        <v>27</v>
      </c>
      <c r="G252" s="9">
        <v>485</v>
      </c>
      <c r="H252" s="10">
        <v>925.56</v>
      </c>
      <c r="N252" s="11">
        <v>485</v>
      </c>
      <c r="O252" s="12">
        <v>925.56</v>
      </c>
    </row>
    <row r="253" spans="2:15" x14ac:dyDescent="0.2">
      <c r="B253" s="8">
        <v>38441.718210335959</v>
      </c>
      <c r="C253" s="9" t="s">
        <v>0</v>
      </c>
      <c r="D253" s="9" t="s">
        <v>21</v>
      </c>
      <c r="E253" s="9" t="s">
        <v>25</v>
      </c>
      <c r="F253" s="9" t="s">
        <v>38</v>
      </c>
      <c r="G253" s="9">
        <v>655</v>
      </c>
      <c r="H253" s="10">
        <v>2975.04</v>
      </c>
      <c r="N253" s="11">
        <v>655</v>
      </c>
      <c r="O253" s="12">
        <v>2975.04</v>
      </c>
    </row>
    <row r="254" spans="2:15" x14ac:dyDescent="0.2">
      <c r="B254" s="8">
        <v>38452.064941210228</v>
      </c>
      <c r="C254" s="9" t="s">
        <v>36</v>
      </c>
      <c r="D254" s="9" t="s">
        <v>18</v>
      </c>
      <c r="E254" s="9" t="s">
        <v>25</v>
      </c>
      <c r="F254" s="9" t="s">
        <v>38</v>
      </c>
      <c r="G254" s="9">
        <v>505</v>
      </c>
      <c r="H254" s="10">
        <v>2460.75</v>
      </c>
      <c r="N254" s="11">
        <v>505</v>
      </c>
      <c r="O254" s="12">
        <v>2460.75</v>
      </c>
    </row>
    <row r="255" spans="2:15" x14ac:dyDescent="0.2">
      <c r="B255" s="8">
        <v>38463.159340965103</v>
      </c>
      <c r="C255" s="9" t="s">
        <v>0</v>
      </c>
      <c r="D255" s="9" t="s">
        <v>13</v>
      </c>
      <c r="E255" s="9" t="s">
        <v>25</v>
      </c>
      <c r="F255" s="9" t="s">
        <v>38</v>
      </c>
      <c r="G255" s="9">
        <v>505</v>
      </c>
      <c r="H255" s="10">
        <v>1543.49</v>
      </c>
      <c r="N255" s="11">
        <v>505</v>
      </c>
      <c r="O255" s="12">
        <v>1543.49</v>
      </c>
    </row>
    <row r="256" spans="2:15" x14ac:dyDescent="0.2">
      <c r="B256" s="8">
        <v>38478.260484089384</v>
      </c>
      <c r="C256" s="9" t="s">
        <v>1</v>
      </c>
      <c r="D256" s="9" t="s">
        <v>6</v>
      </c>
      <c r="E256" s="9" t="s">
        <v>25</v>
      </c>
      <c r="F256" s="9" t="s">
        <v>38</v>
      </c>
      <c r="G256" s="9">
        <v>340</v>
      </c>
      <c r="H256" s="10">
        <v>1609.33</v>
      </c>
      <c r="N256" s="11">
        <v>340</v>
      </c>
      <c r="O256" s="12">
        <v>1609.33</v>
      </c>
    </row>
    <row r="257" spans="2:15" x14ac:dyDescent="0.2">
      <c r="B257" s="8">
        <v>38480.487740850192</v>
      </c>
      <c r="C257" s="9" t="s">
        <v>37</v>
      </c>
      <c r="D257" s="9" t="s">
        <v>13</v>
      </c>
      <c r="E257" s="9" t="s">
        <v>25</v>
      </c>
      <c r="F257" s="9" t="s">
        <v>38</v>
      </c>
      <c r="G257" s="9">
        <v>510</v>
      </c>
      <c r="H257" s="10">
        <v>1344.23</v>
      </c>
      <c r="N257" s="11">
        <v>510</v>
      </c>
      <c r="O257" s="12">
        <v>1344.23</v>
      </c>
    </row>
    <row r="258" spans="2:15" x14ac:dyDescent="0.2">
      <c r="B258" s="8">
        <v>38486.483795647706</v>
      </c>
      <c r="C258" s="9" t="s">
        <v>37</v>
      </c>
      <c r="D258" s="9" t="s">
        <v>18</v>
      </c>
      <c r="E258" s="9" t="s">
        <v>25</v>
      </c>
      <c r="F258" s="9" t="s">
        <v>38</v>
      </c>
      <c r="G258" s="9">
        <v>370</v>
      </c>
      <c r="H258" s="10">
        <v>2651.55</v>
      </c>
      <c r="N258" s="11">
        <v>370</v>
      </c>
      <c r="O258" s="12">
        <v>2651.55</v>
      </c>
    </row>
    <row r="259" spans="2:15" x14ac:dyDescent="0.2">
      <c r="B259" s="8">
        <v>38435.690081368361</v>
      </c>
      <c r="C259" s="9" t="s">
        <v>1</v>
      </c>
      <c r="D259" s="9" t="s">
        <v>5</v>
      </c>
      <c r="E259" s="9" t="s">
        <v>29</v>
      </c>
      <c r="F259" s="9" t="s">
        <v>39</v>
      </c>
      <c r="G259" s="9">
        <v>320</v>
      </c>
      <c r="H259" s="10">
        <v>342.55</v>
      </c>
      <c r="N259" s="11">
        <v>320</v>
      </c>
      <c r="O259" s="12">
        <v>342.55</v>
      </c>
    </row>
    <row r="260" spans="2:15" x14ac:dyDescent="0.2">
      <c r="B260" s="8">
        <v>38454.479317610247</v>
      </c>
      <c r="C260" s="9" t="s">
        <v>1</v>
      </c>
      <c r="D260" s="9" t="s">
        <v>13</v>
      </c>
      <c r="E260" s="9" t="s">
        <v>29</v>
      </c>
      <c r="F260" s="9" t="s">
        <v>39</v>
      </c>
      <c r="G260" s="9">
        <v>45</v>
      </c>
      <c r="H260" s="10">
        <v>51.01</v>
      </c>
      <c r="N260" s="11">
        <v>45</v>
      </c>
      <c r="O260" s="12">
        <v>51.01</v>
      </c>
    </row>
    <row r="261" spans="2:15" x14ac:dyDescent="0.2">
      <c r="B261" s="8">
        <v>38461.238211467942</v>
      </c>
      <c r="C261" s="9" t="s">
        <v>0</v>
      </c>
      <c r="D261" s="9" t="s">
        <v>13</v>
      </c>
      <c r="E261" s="9" t="s">
        <v>29</v>
      </c>
      <c r="F261" s="9" t="s">
        <v>39</v>
      </c>
      <c r="G261" s="9">
        <v>370</v>
      </c>
      <c r="H261" s="10">
        <v>366.12</v>
      </c>
      <c r="N261" s="11">
        <v>370</v>
      </c>
      <c r="O261" s="12">
        <v>366.12</v>
      </c>
    </row>
    <row r="262" spans="2:15" x14ac:dyDescent="0.2">
      <c r="B262" s="8">
        <v>38497.47777404228</v>
      </c>
      <c r="C262" s="9" t="s">
        <v>1</v>
      </c>
      <c r="D262" s="9" t="s">
        <v>17</v>
      </c>
      <c r="E262" s="9" t="s">
        <v>29</v>
      </c>
      <c r="F262" s="9" t="s">
        <v>39</v>
      </c>
      <c r="G262" s="9">
        <v>855</v>
      </c>
      <c r="H262" s="10">
        <v>970.07</v>
      </c>
      <c r="N262" s="11">
        <v>855</v>
      </c>
      <c r="O262" s="12">
        <v>970.07</v>
      </c>
    </row>
    <row r="263" spans="2:15" x14ac:dyDescent="0.2">
      <c r="B263" s="8">
        <v>38500.926577331644</v>
      </c>
      <c r="C263" s="9" t="s">
        <v>0</v>
      </c>
      <c r="D263" s="9" t="s">
        <v>15</v>
      </c>
      <c r="E263" s="9" t="s">
        <v>29</v>
      </c>
      <c r="F263" s="9" t="s">
        <v>39</v>
      </c>
      <c r="G263" s="9">
        <v>280</v>
      </c>
      <c r="H263" s="10">
        <v>921.53</v>
      </c>
      <c r="N263" s="11">
        <v>280</v>
      </c>
      <c r="O263" s="12">
        <v>921.53</v>
      </c>
    </row>
    <row r="264" spans="2:15" x14ac:dyDescent="0.2">
      <c r="B264" s="8">
        <v>38504.654792510148</v>
      </c>
      <c r="C264" s="9" t="s">
        <v>1</v>
      </c>
      <c r="D264" s="9" t="s">
        <v>7</v>
      </c>
      <c r="E264" s="9" t="s">
        <v>29</v>
      </c>
      <c r="F264" s="9" t="s">
        <v>39</v>
      </c>
      <c r="G264" s="9">
        <v>550</v>
      </c>
      <c r="H264" s="10">
        <v>3934.16</v>
      </c>
      <c r="N264" s="11">
        <v>550</v>
      </c>
      <c r="O264" s="12">
        <v>3934.16</v>
      </c>
    </row>
    <row r="265" spans="2:15" x14ac:dyDescent="0.2">
      <c r="B265" s="8">
        <v>38510.246717088863</v>
      </c>
      <c r="C265" s="9" t="s">
        <v>2</v>
      </c>
      <c r="D265" s="9" t="s">
        <v>19</v>
      </c>
      <c r="E265" s="9" t="s">
        <v>29</v>
      </c>
      <c r="F265" s="9" t="s">
        <v>39</v>
      </c>
      <c r="G265" s="9">
        <v>845</v>
      </c>
      <c r="H265" s="10">
        <v>6116.21</v>
      </c>
      <c r="N265" s="11">
        <v>845</v>
      </c>
      <c r="O265" s="12">
        <v>6116.21</v>
      </c>
    </row>
    <row r="266" spans="2:15" x14ac:dyDescent="0.2">
      <c r="B266" s="8">
        <v>38525.584265422825</v>
      </c>
      <c r="C266" s="9" t="s">
        <v>37</v>
      </c>
      <c r="D266" s="9" t="s">
        <v>8</v>
      </c>
      <c r="E266" s="9" t="s">
        <v>29</v>
      </c>
      <c r="F266" s="9" t="s">
        <v>39</v>
      </c>
      <c r="G266" s="9">
        <v>725</v>
      </c>
      <c r="H266" s="10">
        <v>2986.38</v>
      </c>
      <c r="N266" s="11">
        <v>725</v>
      </c>
      <c r="O266" s="12">
        <v>2986.38</v>
      </c>
    </row>
    <row r="267" spans="2:15" x14ac:dyDescent="0.2">
      <c r="B267" s="8">
        <v>38525.6728969838</v>
      </c>
      <c r="C267" s="9" t="s">
        <v>3</v>
      </c>
      <c r="D267" s="9" t="s">
        <v>24</v>
      </c>
      <c r="E267" s="9" t="s">
        <v>29</v>
      </c>
      <c r="F267" s="9" t="s">
        <v>39</v>
      </c>
      <c r="G267" s="9">
        <v>970</v>
      </c>
      <c r="H267" s="10">
        <v>1156.69</v>
      </c>
      <c r="N267" s="11">
        <v>970</v>
      </c>
      <c r="O267" s="12">
        <v>1156.69</v>
      </c>
    </row>
    <row r="268" spans="2:15" x14ac:dyDescent="0.2">
      <c r="B268" s="8">
        <v>38526.415078981598</v>
      </c>
      <c r="C268" s="9" t="s">
        <v>4</v>
      </c>
      <c r="D268" s="9" t="s">
        <v>24</v>
      </c>
      <c r="E268" s="9" t="s">
        <v>29</v>
      </c>
      <c r="F268" s="9" t="s">
        <v>39</v>
      </c>
      <c r="G268" s="9">
        <v>500</v>
      </c>
      <c r="H268" s="10">
        <v>502.64</v>
      </c>
      <c r="N268" s="11">
        <v>500</v>
      </c>
      <c r="O268" s="12">
        <v>502.64</v>
      </c>
    </row>
    <row r="269" spans="2:15" x14ac:dyDescent="0.2">
      <c r="B269" s="8">
        <v>38551.74928573826</v>
      </c>
      <c r="C269" s="9" t="s">
        <v>36</v>
      </c>
      <c r="D269" s="9" t="s">
        <v>16</v>
      </c>
      <c r="E269" s="9" t="s">
        <v>29</v>
      </c>
      <c r="F269" s="9" t="s">
        <v>39</v>
      </c>
      <c r="G269" s="9">
        <v>310</v>
      </c>
      <c r="H269" s="10">
        <v>1006.79</v>
      </c>
      <c r="N269" s="11">
        <v>310</v>
      </c>
      <c r="O269" s="12">
        <v>1006.79</v>
      </c>
    </row>
    <row r="270" spans="2:15" x14ac:dyDescent="0.2">
      <c r="B270" s="8">
        <v>38551.894864938062</v>
      </c>
      <c r="C270" s="9" t="s">
        <v>4</v>
      </c>
      <c r="D270" s="9" t="s">
        <v>13</v>
      </c>
      <c r="E270" s="9" t="s">
        <v>29</v>
      </c>
      <c r="F270" s="9" t="s">
        <v>39</v>
      </c>
      <c r="G270" s="9">
        <v>935</v>
      </c>
      <c r="H270" s="10">
        <v>888.58</v>
      </c>
      <c r="N270" s="11">
        <v>935</v>
      </c>
      <c r="O270" s="12">
        <v>888.58</v>
      </c>
    </row>
    <row r="271" spans="2:15" x14ac:dyDescent="0.2">
      <c r="B271" s="8">
        <v>38562.503896445945</v>
      </c>
      <c r="C271" s="9" t="s">
        <v>4</v>
      </c>
      <c r="D271" s="9" t="s">
        <v>10</v>
      </c>
      <c r="E271" s="9" t="s">
        <v>29</v>
      </c>
      <c r="F271" s="9" t="s">
        <v>39</v>
      </c>
      <c r="G271" s="9">
        <v>985</v>
      </c>
      <c r="H271" s="10">
        <v>1107.24</v>
      </c>
      <c r="N271" s="11">
        <v>985</v>
      </c>
      <c r="O271" s="12">
        <v>1107.24</v>
      </c>
    </row>
    <row r="272" spans="2:15" x14ac:dyDescent="0.2">
      <c r="B272" s="8">
        <v>38575.277385830566</v>
      </c>
      <c r="C272" s="9" t="s">
        <v>0</v>
      </c>
      <c r="D272" s="9" t="s">
        <v>6</v>
      </c>
      <c r="E272" s="9" t="s">
        <v>29</v>
      </c>
      <c r="F272" s="9" t="s">
        <v>39</v>
      </c>
      <c r="G272" s="9">
        <v>650</v>
      </c>
      <c r="H272" s="10">
        <v>2127.44</v>
      </c>
      <c r="N272" s="11">
        <v>650</v>
      </c>
      <c r="O272" s="12">
        <v>2127.44</v>
      </c>
    </row>
    <row r="273" spans="2:15" x14ac:dyDescent="0.2">
      <c r="B273" s="8">
        <v>38581.669427887624</v>
      </c>
      <c r="C273" s="9" t="s">
        <v>0</v>
      </c>
      <c r="D273" s="9" t="s">
        <v>13</v>
      </c>
      <c r="E273" s="9" t="s">
        <v>29</v>
      </c>
      <c r="F273" s="9" t="s">
        <v>39</v>
      </c>
      <c r="G273" s="9">
        <v>405</v>
      </c>
      <c r="H273" s="10">
        <v>1104.54</v>
      </c>
      <c r="N273" s="11">
        <v>405</v>
      </c>
      <c r="O273" s="12">
        <v>1104.54</v>
      </c>
    </row>
    <row r="274" spans="2:15" x14ac:dyDescent="0.2">
      <c r="B274" s="8">
        <v>38589.025782020879</v>
      </c>
      <c r="C274" s="9" t="s">
        <v>0</v>
      </c>
      <c r="D274" s="9" t="s">
        <v>22</v>
      </c>
      <c r="E274" s="9" t="s">
        <v>29</v>
      </c>
      <c r="F274" s="9" t="s">
        <v>39</v>
      </c>
      <c r="G274" s="9">
        <v>165</v>
      </c>
      <c r="H274" s="10">
        <v>192.16</v>
      </c>
      <c r="N274" s="11">
        <v>165</v>
      </c>
      <c r="O274" s="12">
        <v>192.16</v>
      </c>
    </row>
    <row r="275" spans="2:15" x14ac:dyDescent="0.2">
      <c r="B275" s="8">
        <v>38457.642464196288</v>
      </c>
      <c r="C275" s="9" t="s">
        <v>2</v>
      </c>
      <c r="D275" s="9" t="s">
        <v>6</v>
      </c>
      <c r="E275" s="9" t="s">
        <v>29</v>
      </c>
      <c r="F275" s="9" t="s">
        <v>43</v>
      </c>
      <c r="G275" s="9">
        <v>420</v>
      </c>
      <c r="H275" s="10">
        <v>2203.9899999999998</v>
      </c>
      <c r="N275" s="11">
        <v>420</v>
      </c>
      <c r="O275" s="12">
        <v>2203.9899999999998</v>
      </c>
    </row>
    <row r="276" spans="2:15" x14ac:dyDescent="0.2">
      <c r="B276" s="8">
        <v>38473.126848843436</v>
      </c>
      <c r="C276" s="9" t="s">
        <v>36</v>
      </c>
      <c r="D276" s="9" t="s">
        <v>13</v>
      </c>
      <c r="E276" s="9" t="s">
        <v>29</v>
      </c>
      <c r="F276" s="9" t="s">
        <v>43</v>
      </c>
      <c r="G276" s="9">
        <v>675</v>
      </c>
      <c r="H276" s="10">
        <v>3922.58</v>
      </c>
      <c r="N276" s="11">
        <v>675</v>
      </c>
      <c r="O276" s="12">
        <v>3922.58</v>
      </c>
    </row>
    <row r="277" spans="2:15" x14ac:dyDescent="0.2">
      <c r="B277" s="8">
        <v>38475.798490449939</v>
      </c>
      <c r="C277" s="9" t="s">
        <v>2</v>
      </c>
      <c r="D277" s="9" t="s">
        <v>9</v>
      </c>
      <c r="E277" s="9" t="s">
        <v>29</v>
      </c>
      <c r="F277" s="9" t="s">
        <v>43</v>
      </c>
      <c r="G277" s="9">
        <v>730</v>
      </c>
      <c r="H277" s="10">
        <v>1491.18</v>
      </c>
      <c r="N277" s="11">
        <v>730</v>
      </c>
      <c r="O277" s="12">
        <v>1491.18</v>
      </c>
    </row>
    <row r="278" spans="2:15" x14ac:dyDescent="0.2">
      <c r="B278" s="8">
        <v>38478.279575326887</v>
      </c>
      <c r="C278" s="9" t="s">
        <v>1</v>
      </c>
      <c r="D278" s="9" t="s">
        <v>9</v>
      </c>
      <c r="E278" s="9" t="s">
        <v>29</v>
      </c>
      <c r="F278" s="9" t="s">
        <v>43</v>
      </c>
      <c r="G278" s="9">
        <v>240</v>
      </c>
      <c r="H278" s="10">
        <v>1420.1</v>
      </c>
      <c r="N278" s="11">
        <v>240</v>
      </c>
      <c r="O278" s="12">
        <v>1420.1</v>
      </c>
    </row>
    <row r="279" spans="2:15" x14ac:dyDescent="0.2">
      <c r="B279" s="8">
        <v>38489.548997706501</v>
      </c>
      <c r="C279" s="9" t="s">
        <v>3</v>
      </c>
      <c r="D279" s="9" t="s">
        <v>20</v>
      </c>
      <c r="E279" s="9" t="s">
        <v>29</v>
      </c>
      <c r="F279" s="9" t="s">
        <v>43</v>
      </c>
      <c r="G279" s="9">
        <v>445</v>
      </c>
      <c r="H279" s="10">
        <v>2433.7399999999998</v>
      </c>
      <c r="N279" s="11">
        <v>445</v>
      </c>
      <c r="O279" s="12">
        <v>2433.7399999999998</v>
      </c>
    </row>
    <row r="280" spans="2:15" x14ac:dyDescent="0.2">
      <c r="B280" s="8">
        <v>38495.391818097865</v>
      </c>
      <c r="C280" s="9" t="s">
        <v>37</v>
      </c>
      <c r="D280" s="9" t="s">
        <v>7</v>
      </c>
      <c r="E280" s="9" t="s">
        <v>29</v>
      </c>
      <c r="F280" s="9" t="s">
        <v>43</v>
      </c>
      <c r="G280" s="9">
        <v>705</v>
      </c>
      <c r="H280" s="10">
        <v>3992.66</v>
      </c>
      <c r="N280" s="11">
        <v>705</v>
      </c>
      <c r="O280" s="12">
        <v>3992.66</v>
      </c>
    </row>
    <row r="281" spans="2:15" x14ac:dyDescent="0.2">
      <c r="B281" s="8">
        <v>38502.87906490692</v>
      </c>
      <c r="C281" s="9" t="s">
        <v>36</v>
      </c>
      <c r="D281" s="9" t="s">
        <v>9</v>
      </c>
      <c r="E281" s="9" t="s">
        <v>29</v>
      </c>
      <c r="F281" s="9" t="s">
        <v>43</v>
      </c>
      <c r="G281" s="9">
        <v>845</v>
      </c>
      <c r="H281" s="10">
        <v>1821.19</v>
      </c>
      <c r="N281" s="11">
        <v>845</v>
      </c>
      <c r="O281" s="12">
        <v>1821.19</v>
      </c>
    </row>
    <row r="282" spans="2:15" x14ac:dyDescent="0.2">
      <c r="B282" s="8">
        <v>38503.003864335449</v>
      </c>
      <c r="C282" s="9" t="s">
        <v>1</v>
      </c>
      <c r="D282" s="9" t="s">
        <v>10</v>
      </c>
      <c r="E282" s="9" t="s">
        <v>29</v>
      </c>
      <c r="F282" s="9" t="s">
        <v>43</v>
      </c>
      <c r="G282" s="9">
        <v>330</v>
      </c>
      <c r="H282" s="10">
        <v>1785.88</v>
      </c>
      <c r="N282" s="11">
        <v>330</v>
      </c>
      <c r="O282" s="12">
        <v>1785.88</v>
      </c>
    </row>
    <row r="283" spans="2:15" x14ac:dyDescent="0.2">
      <c r="B283" s="8">
        <v>38508.094898498486</v>
      </c>
      <c r="C283" s="9" t="s">
        <v>36</v>
      </c>
      <c r="D283" s="9" t="s">
        <v>13</v>
      </c>
      <c r="E283" s="9" t="s">
        <v>29</v>
      </c>
      <c r="F283" s="9" t="s">
        <v>43</v>
      </c>
      <c r="G283" s="9">
        <v>565</v>
      </c>
      <c r="H283" s="10">
        <v>2833.99</v>
      </c>
      <c r="N283" s="11">
        <v>565</v>
      </c>
      <c r="O283" s="12">
        <v>2833.99</v>
      </c>
    </row>
    <row r="284" spans="2:15" x14ac:dyDescent="0.2">
      <c r="B284" s="8">
        <v>38510.082057853186</v>
      </c>
      <c r="C284" s="9" t="s">
        <v>4</v>
      </c>
      <c r="D284" s="9" t="s">
        <v>9</v>
      </c>
      <c r="E284" s="9" t="s">
        <v>29</v>
      </c>
      <c r="F284" s="9" t="s">
        <v>43</v>
      </c>
      <c r="G284" s="9">
        <v>315</v>
      </c>
      <c r="H284" s="10">
        <v>691.57</v>
      </c>
      <c r="N284" s="11">
        <v>315</v>
      </c>
      <c r="O284" s="12">
        <v>691.57</v>
      </c>
    </row>
    <row r="285" spans="2:15" x14ac:dyDescent="0.2">
      <c r="B285" s="8">
        <v>38553.49560331348</v>
      </c>
      <c r="C285" s="9" t="s">
        <v>4</v>
      </c>
      <c r="D285" s="9" t="s">
        <v>15</v>
      </c>
      <c r="E285" s="9" t="s">
        <v>29</v>
      </c>
      <c r="F285" s="9" t="s">
        <v>43</v>
      </c>
      <c r="G285" s="9">
        <v>5</v>
      </c>
      <c r="H285" s="10">
        <v>25.64</v>
      </c>
      <c r="N285" s="11">
        <v>5</v>
      </c>
      <c r="O285" s="12">
        <v>25.64</v>
      </c>
    </row>
    <row r="286" spans="2:15" x14ac:dyDescent="0.2">
      <c r="B286" s="8">
        <v>38423.897439834007</v>
      </c>
      <c r="C286" s="9" t="s">
        <v>1</v>
      </c>
      <c r="D286" s="9" t="s">
        <v>24</v>
      </c>
      <c r="E286" s="9" t="s">
        <v>29</v>
      </c>
      <c r="F286" s="9" t="s">
        <v>40</v>
      </c>
      <c r="G286" s="9">
        <v>110</v>
      </c>
      <c r="H286" s="10">
        <v>259.08</v>
      </c>
      <c r="N286" s="11">
        <v>110</v>
      </c>
      <c r="O286" s="12">
        <v>259.08</v>
      </c>
    </row>
    <row r="287" spans="2:15" x14ac:dyDescent="0.2">
      <c r="B287" s="8">
        <v>38448.469979821479</v>
      </c>
      <c r="C287" s="9" t="s">
        <v>36</v>
      </c>
      <c r="D287" s="9" t="s">
        <v>9</v>
      </c>
      <c r="E287" s="9" t="s">
        <v>29</v>
      </c>
      <c r="F287" s="9" t="s">
        <v>40</v>
      </c>
      <c r="G287" s="9">
        <v>915</v>
      </c>
      <c r="H287" s="10">
        <v>1724.92</v>
      </c>
      <c r="N287" s="11">
        <v>915</v>
      </c>
      <c r="O287" s="12">
        <v>1724.92</v>
      </c>
    </row>
    <row r="288" spans="2:15" x14ac:dyDescent="0.2">
      <c r="B288" s="8">
        <v>38459.836643890783</v>
      </c>
      <c r="C288" s="9" t="s">
        <v>1</v>
      </c>
      <c r="D288" s="9" t="s">
        <v>9</v>
      </c>
      <c r="E288" s="9" t="s">
        <v>29</v>
      </c>
      <c r="F288" s="9" t="s">
        <v>40</v>
      </c>
      <c r="G288" s="9">
        <v>895</v>
      </c>
      <c r="H288" s="10">
        <v>1599.63</v>
      </c>
      <c r="N288" s="11">
        <v>895</v>
      </c>
      <c r="O288" s="12">
        <v>1599.63</v>
      </c>
    </row>
    <row r="289" spans="2:15" x14ac:dyDescent="0.2">
      <c r="B289" s="8">
        <v>38463.319813250149</v>
      </c>
      <c r="C289" s="9" t="s">
        <v>0</v>
      </c>
      <c r="D289" s="9" t="s">
        <v>9</v>
      </c>
      <c r="E289" s="9" t="s">
        <v>29</v>
      </c>
      <c r="F289" s="9" t="s">
        <v>40</v>
      </c>
      <c r="G289" s="9">
        <v>700</v>
      </c>
      <c r="H289" s="10">
        <v>1046.58</v>
      </c>
      <c r="N289" s="11">
        <v>700</v>
      </c>
      <c r="O289" s="12">
        <v>1046.58</v>
      </c>
    </row>
    <row r="290" spans="2:15" x14ac:dyDescent="0.2">
      <c r="B290" s="8">
        <v>38473.174839441039</v>
      </c>
      <c r="C290" s="9" t="s">
        <v>2</v>
      </c>
      <c r="D290" s="9" t="s">
        <v>9</v>
      </c>
      <c r="E290" s="9" t="s">
        <v>29</v>
      </c>
      <c r="F290" s="9" t="s">
        <v>40</v>
      </c>
      <c r="G290" s="9">
        <v>500</v>
      </c>
      <c r="H290" s="10">
        <v>398.6</v>
      </c>
      <c r="N290" s="11">
        <v>500</v>
      </c>
      <c r="O290" s="12">
        <v>398.6</v>
      </c>
    </row>
    <row r="291" spans="2:15" x14ac:dyDescent="0.2">
      <c r="B291" s="8">
        <v>38475.329713452709</v>
      </c>
      <c r="C291" s="9" t="s">
        <v>37</v>
      </c>
      <c r="D291" s="9" t="s">
        <v>6</v>
      </c>
      <c r="E291" s="9" t="s">
        <v>29</v>
      </c>
      <c r="F291" s="9" t="s">
        <v>40</v>
      </c>
      <c r="G291" s="9">
        <v>410</v>
      </c>
      <c r="H291" s="10">
        <v>836.73</v>
      </c>
      <c r="N291" s="11">
        <v>410</v>
      </c>
      <c r="O291" s="12">
        <v>836.73</v>
      </c>
    </row>
    <row r="292" spans="2:15" x14ac:dyDescent="0.2">
      <c r="B292" s="8">
        <v>38485.761781515961</v>
      </c>
      <c r="C292" s="9" t="s">
        <v>1</v>
      </c>
      <c r="D292" s="9" t="s">
        <v>13</v>
      </c>
      <c r="E292" s="9" t="s">
        <v>29</v>
      </c>
      <c r="F292" s="9" t="s">
        <v>40</v>
      </c>
      <c r="G292" s="9">
        <v>415</v>
      </c>
      <c r="H292" s="10">
        <v>866.84</v>
      </c>
      <c r="N292" s="11">
        <v>415</v>
      </c>
      <c r="O292" s="12">
        <v>866.84</v>
      </c>
    </row>
    <row r="293" spans="2:15" x14ac:dyDescent="0.2">
      <c r="B293" s="8">
        <v>38496.64478718835</v>
      </c>
      <c r="C293" s="9" t="s">
        <v>37</v>
      </c>
      <c r="D293" s="9" t="s">
        <v>20</v>
      </c>
      <c r="E293" s="9" t="s">
        <v>29</v>
      </c>
      <c r="F293" s="9" t="s">
        <v>40</v>
      </c>
      <c r="G293" s="9">
        <v>695</v>
      </c>
      <c r="H293" s="10">
        <v>1506.57</v>
      </c>
      <c r="N293" s="11">
        <v>695</v>
      </c>
      <c r="O293" s="12">
        <v>1506.57</v>
      </c>
    </row>
    <row r="294" spans="2:15" x14ac:dyDescent="0.2">
      <c r="B294" s="8">
        <v>38497.045827023547</v>
      </c>
      <c r="C294" s="9" t="s">
        <v>1</v>
      </c>
      <c r="D294" s="9" t="s">
        <v>13</v>
      </c>
      <c r="E294" s="9" t="s">
        <v>29</v>
      </c>
      <c r="F294" s="9" t="s">
        <v>40</v>
      </c>
      <c r="G294" s="9">
        <v>115</v>
      </c>
      <c r="H294" s="10">
        <v>243.94</v>
      </c>
      <c r="N294" s="11">
        <v>115</v>
      </c>
      <c r="O294" s="12">
        <v>243.94</v>
      </c>
    </row>
    <row r="295" spans="2:15" x14ac:dyDescent="0.2">
      <c r="B295" s="8">
        <v>38511.605510426241</v>
      </c>
      <c r="C295" s="9" t="s">
        <v>37</v>
      </c>
      <c r="D295" s="9" t="s">
        <v>15</v>
      </c>
      <c r="E295" s="9" t="s">
        <v>29</v>
      </c>
      <c r="F295" s="9" t="s">
        <v>40</v>
      </c>
      <c r="G295" s="9">
        <v>995</v>
      </c>
      <c r="H295" s="10">
        <v>2089.6999999999998</v>
      </c>
      <c r="N295" s="11">
        <v>995</v>
      </c>
      <c r="O295" s="12">
        <v>2089.6999999999998</v>
      </c>
    </row>
    <row r="296" spans="2:15" x14ac:dyDescent="0.2">
      <c r="B296" s="8">
        <v>38521.414503203145</v>
      </c>
      <c r="C296" s="9" t="s">
        <v>0</v>
      </c>
      <c r="D296" s="9" t="s">
        <v>9</v>
      </c>
      <c r="E296" s="9" t="s">
        <v>29</v>
      </c>
      <c r="F296" s="9" t="s">
        <v>40</v>
      </c>
      <c r="G296" s="9">
        <v>95</v>
      </c>
      <c r="H296" s="10">
        <v>183.38</v>
      </c>
      <c r="N296" s="11">
        <v>95</v>
      </c>
      <c r="O296" s="12">
        <v>183.38</v>
      </c>
    </row>
    <row r="297" spans="2:15" x14ac:dyDescent="0.2">
      <c r="B297" s="8">
        <v>38537.372858053634</v>
      </c>
      <c r="C297" s="9" t="s">
        <v>4</v>
      </c>
      <c r="D297" s="9" t="s">
        <v>11</v>
      </c>
      <c r="E297" s="9" t="s">
        <v>29</v>
      </c>
      <c r="F297" s="9" t="s">
        <v>40</v>
      </c>
      <c r="G297" s="9">
        <v>495</v>
      </c>
      <c r="H297" s="10">
        <v>998.71</v>
      </c>
      <c r="N297" s="11">
        <v>495</v>
      </c>
      <c r="O297" s="12">
        <v>998.71</v>
      </c>
    </row>
    <row r="298" spans="2:15" x14ac:dyDescent="0.2">
      <c r="B298" s="8">
        <v>38541.565149510527</v>
      </c>
      <c r="C298" s="9" t="s">
        <v>37</v>
      </c>
      <c r="D298" s="9" t="s">
        <v>11</v>
      </c>
      <c r="E298" s="9" t="s">
        <v>29</v>
      </c>
      <c r="F298" s="9" t="s">
        <v>40</v>
      </c>
      <c r="G298" s="9">
        <v>770</v>
      </c>
      <c r="H298" s="10">
        <v>1826.88</v>
      </c>
      <c r="N298" s="11">
        <v>770</v>
      </c>
      <c r="O298" s="12">
        <v>1826.88</v>
      </c>
    </row>
    <row r="299" spans="2:15" x14ac:dyDescent="0.2">
      <c r="B299" s="8">
        <v>38416.753308547428</v>
      </c>
      <c r="C299" s="9" t="s">
        <v>2</v>
      </c>
      <c r="D299" s="9" t="s">
        <v>12</v>
      </c>
      <c r="E299" s="9" t="s">
        <v>29</v>
      </c>
      <c r="F299" s="9" t="s">
        <v>28</v>
      </c>
      <c r="G299" s="9">
        <v>530</v>
      </c>
      <c r="H299" s="10">
        <v>2410.92</v>
      </c>
      <c r="N299" s="11">
        <v>530</v>
      </c>
      <c r="O299" s="12">
        <v>2410.92</v>
      </c>
    </row>
    <row r="300" spans="2:15" x14ac:dyDescent="0.2">
      <c r="B300" s="8">
        <v>38418.260564735254</v>
      </c>
      <c r="C300" s="9" t="s">
        <v>3</v>
      </c>
      <c r="D300" s="9" t="s">
        <v>15</v>
      </c>
      <c r="E300" s="9" t="s">
        <v>29</v>
      </c>
      <c r="F300" s="9" t="s">
        <v>28</v>
      </c>
      <c r="G300" s="9">
        <v>190</v>
      </c>
      <c r="H300" s="10">
        <v>825.48</v>
      </c>
      <c r="N300" s="11">
        <v>190</v>
      </c>
      <c r="O300" s="12">
        <v>825.48</v>
      </c>
    </row>
    <row r="301" spans="2:15" x14ac:dyDescent="0.2">
      <c r="B301" s="8">
        <v>38427.558354236819</v>
      </c>
      <c r="C301" s="9" t="s">
        <v>37</v>
      </c>
      <c r="D301" s="9" t="s">
        <v>19</v>
      </c>
      <c r="E301" s="9" t="s">
        <v>29</v>
      </c>
      <c r="F301" s="9" t="s">
        <v>28</v>
      </c>
      <c r="G301" s="9">
        <v>985</v>
      </c>
      <c r="H301" s="10">
        <v>1519.36</v>
      </c>
      <c r="N301" s="11">
        <v>985</v>
      </c>
      <c r="O301" s="12">
        <v>1519.36</v>
      </c>
    </row>
    <row r="302" spans="2:15" x14ac:dyDescent="0.2">
      <c r="B302" s="8">
        <v>38451.627441863886</v>
      </c>
      <c r="C302" s="9" t="s">
        <v>0</v>
      </c>
      <c r="D302" s="9" t="s">
        <v>10</v>
      </c>
      <c r="E302" s="9" t="s">
        <v>29</v>
      </c>
      <c r="F302" s="9" t="s">
        <v>28</v>
      </c>
      <c r="G302" s="9">
        <v>60</v>
      </c>
      <c r="H302" s="10">
        <v>264.69</v>
      </c>
      <c r="N302" s="11">
        <v>60</v>
      </c>
      <c r="O302" s="12">
        <v>264.69</v>
      </c>
    </row>
    <row r="303" spans="2:15" x14ac:dyDescent="0.2">
      <c r="B303" s="8">
        <v>38461.045290701331</v>
      </c>
      <c r="C303" s="9" t="s">
        <v>1</v>
      </c>
      <c r="D303" s="9" t="s">
        <v>22</v>
      </c>
      <c r="E303" s="9" t="s">
        <v>29</v>
      </c>
      <c r="F303" s="9" t="s">
        <v>28</v>
      </c>
      <c r="G303" s="9">
        <v>875</v>
      </c>
      <c r="H303" s="10">
        <v>3652.67</v>
      </c>
      <c r="N303" s="11">
        <v>875</v>
      </c>
      <c r="O303" s="12">
        <v>3652.67</v>
      </c>
    </row>
    <row r="304" spans="2:15" x14ac:dyDescent="0.2">
      <c r="B304" s="8">
        <v>38463.835817390674</v>
      </c>
      <c r="C304" s="9" t="s">
        <v>37</v>
      </c>
      <c r="D304" s="9" t="s">
        <v>7</v>
      </c>
      <c r="E304" s="9" t="s">
        <v>29</v>
      </c>
      <c r="F304" s="9" t="s">
        <v>28</v>
      </c>
      <c r="G304" s="9">
        <v>155</v>
      </c>
      <c r="H304" s="10">
        <v>738.05</v>
      </c>
      <c r="N304" s="11">
        <v>155</v>
      </c>
      <c r="O304" s="12">
        <v>738.05</v>
      </c>
    </row>
    <row r="305" spans="2:15" x14ac:dyDescent="0.2">
      <c r="B305" s="8">
        <v>38474.489130800088</v>
      </c>
      <c r="C305" s="9" t="s">
        <v>37</v>
      </c>
      <c r="D305" s="9" t="s">
        <v>24</v>
      </c>
      <c r="E305" s="9" t="s">
        <v>29</v>
      </c>
      <c r="F305" s="9" t="s">
        <v>28</v>
      </c>
      <c r="G305" s="9">
        <v>460</v>
      </c>
      <c r="H305" s="10">
        <v>2121.15</v>
      </c>
      <c r="N305" s="11">
        <v>460</v>
      </c>
      <c r="O305" s="12">
        <v>2121.15</v>
      </c>
    </row>
    <row r="306" spans="2:15" x14ac:dyDescent="0.2">
      <c r="B306" s="8">
        <v>38475.682866602416</v>
      </c>
      <c r="C306" s="9" t="s">
        <v>2</v>
      </c>
      <c r="D306" s="9" t="s">
        <v>16</v>
      </c>
      <c r="E306" s="9" t="s">
        <v>29</v>
      </c>
      <c r="F306" s="9" t="s">
        <v>28</v>
      </c>
      <c r="G306" s="9">
        <v>165</v>
      </c>
      <c r="H306" s="10">
        <v>785.1</v>
      </c>
      <c r="N306" s="11">
        <v>165</v>
      </c>
      <c r="O306" s="12">
        <v>785.1</v>
      </c>
    </row>
    <row r="307" spans="2:15" x14ac:dyDescent="0.2">
      <c r="B307" s="8">
        <v>38476.262434812968</v>
      </c>
      <c r="C307" s="9" t="s">
        <v>37</v>
      </c>
      <c r="D307" s="9" t="s">
        <v>8</v>
      </c>
      <c r="E307" s="9" t="s">
        <v>29</v>
      </c>
      <c r="F307" s="9" t="s">
        <v>28</v>
      </c>
      <c r="G307" s="9">
        <v>895</v>
      </c>
      <c r="H307" s="10">
        <v>4022.8</v>
      </c>
      <c r="N307" s="11">
        <v>895</v>
      </c>
      <c r="O307" s="12">
        <v>4022.8</v>
      </c>
    </row>
    <row r="308" spans="2:15" x14ac:dyDescent="0.2">
      <c r="B308" s="8">
        <v>38480.888645703089</v>
      </c>
      <c r="C308" s="9" t="s">
        <v>36</v>
      </c>
      <c r="D308" s="9" t="s">
        <v>19</v>
      </c>
      <c r="E308" s="9" t="s">
        <v>29</v>
      </c>
      <c r="F308" s="9" t="s">
        <v>28</v>
      </c>
      <c r="G308" s="9">
        <v>480</v>
      </c>
      <c r="H308" s="10">
        <v>1222.76</v>
      </c>
      <c r="N308" s="11">
        <v>480</v>
      </c>
      <c r="O308" s="12">
        <v>1222.76</v>
      </c>
    </row>
    <row r="309" spans="2:15" x14ac:dyDescent="0.2">
      <c r="B309" s="8">
        <v>38488.201433877191</v>
      </c>
      <c r="C309" s="9" t="s">
        <v>36</v>
      </c>
      <c r="D309" s="9" t="s">
        <v>19</v>
      </c>
      <c r="E309" s="9" t="s">
        <v>29</v>
      </c>
      <c r="F309" s="9" t="s">
        <v>28</v>
      </c>
      <c r="G309" s="9">
        <v>295</v>
      </c>
      <c r="H309" s="10">
        <v>1157.57</v>
      </c>
      <c r="N309" s="11">
        <v>295</v>
      </c>
      <c r="O309" s="12">
        <v>1157.57</v>
      </c>
    </row>
    <row r="310" spans="2:15" x14ac:dyDescent="0.2">
      <c r="B310" s="8">
        <v>38491.028407450249</v>
      </c>
      <c r="C310" s="9" t="s">
        <v>37</v>
      </c>
      <c r="D310" s="9" t="s">
        <v>19</v>
      </c>
      <c r="E310" s="9" t="s">
        <v>29</v>
      </c>
      <c r="F310" s="9" t="s">
        <v>28</v>
      </c>
      <c r="G310" s="9">
        <v>285</v>
      </c>
      <c r="H310" s="10">
        <v>1141.47</v>
      </c>
      <c r="N310" s="11">
        <v>285</v>
      </c>
      <c r="O310" s="12">
        <v>1141.47</v>
      </c>
    </row>
    <row r="311" spans="2:15" x14ac:dyDescent="0.2">
      <c r="B311" s="8">
        <v>38501.347451887261</v>
      </c>
      <c r="C311" s="9" t="s">
        <v>1</v>
      </c>
      <c r="D311" s="9" t="s">
        <v>13</v>
      </c>
      <c r="E311" s="9" t="s">
        <v>29</v>
      </c>
      <c r="F311" s="9" t="s">
        <v>28</v>
      </c>
      <c r="G311" s="9">
        <v>310</v>
      </c>
      <c r="H311" s="10">
        <v>779.41</v>
      </c>
      <c r="N311" s="11">
        <v>310</v>
      </c>
      <c r="O311" s="12">
        <v>779.41</v>
      </c>
    </row>
    <row r="312" spans="2:15" x14ac:dyDescent="0.2">
      <c r="B312" s="8">
        <v>38549.186049781259</v>
      </c>
      <c r="C312" s="9" t="s">
        <v>0</v>
      </c>
      <c r="D312" s="9" t="s">
        <v>19</v>
      </c>
      <c r="E312" s="9" t="s">
        <v>29</v>
      </c>
      <c r="F312" s="9" t="s">
        <v>28</v>
      </c>
      <c r="G312" s="9">
        <v>890</v>
      </c>
      <c r="H312" s="10">
        <v>3615.2</v>
      </c>
      <c r="N312" s="11">
        <v>890</v>
      </c>
      <c r="O312" s="12">
        <v>3615.2</v>
      </c>
    </row>
    <row r="313" spans="2:15" x14ac:dyDescent="0.2">
      <c r="B313" s="8">
        <v>38431.436088493734</v>
      </c>
      <c r="C313" s="9" t="s">
        <v>36</v>
      </c>
      <c r="D313" s="9" t="s">
        <v>5</v>
      </c>
      <c r="E313" s="9" t="s">
        <v>29</v>
      </c>
      <c r="F313" s="9" t="s">
        <v>41</v>
      </c>
      <c r="G313" s="9">
        <v>625</v>
      </c>
      <c r="H313" s="10">
        <v>1952.51</v>
      </c>
      <c r="N313" s="11">
        <v>625</v>
      </c>
      <c r="O313" s="12">
        <v>1952.51</v>
      </c>
    </row>
    <row r="314" spans="2:15" x14ac:dyDescent="0.2">
      <c r="B314" s="8">
        <v>38444.149464252914</v>
      </c>
      <c r="C314" s="9" t="s">
        <v>2</v>
      </c>
      <c r="D314" s="9" t="s">
        <v>5</v>
      </c>
      <c r="E314" s="9" t="s">
        <v>29</v>
      </c>
      <c r="F314" s="9" t="s">
        <v>41</v>
      </c>
      <c r="G314" s="9">
        <v>610</v>
      </c>
      <c r="H314" s="10">
        <v>1959.33</v>
      </c>
      <c r="N314" s="11">
        <v>610</v>
      </c>
      <c r="O314" s="12">
        <v>1959.33</v>
      </c>
    </row>
    <row r="315" spans="2:15" x14ac:dyDescent="0.2">
      <c r="B315" s="8">
        <v>38447.342853423346</v>
      </c>
      <c r="C315" s="9" t="s">
        <v>37</v>
      </c>
      <c r="D315" s="9" t="s">
        <v>13</v>
      </c>
      <c r="E315" s="9" t="s">
        <v>29</v>
      </c>
      <c r="F315" s="9" t="s">
        <v>41</v>
      </c>
      <c r="G315" s="9">
        <v>465</v>
      </c>
      <c r="H315" s="10">
        <v>1561.96</v>
      </c>
      <c r="N315" s="11">
        <v>465</v>
      </c>
      <c r="O315" s="12">
        <v>1561.96</v>
      </c>
    </row>
    <row r="316" spans="2:15" x14ac:dyDescent="0.2">
      <c r="B316" s="8">
        <v>38455.849240293079</v>
      </c>
      <c r="C316" s="9" t="s">
        <v>0</v>
      </c>
      <c r="D316" s="9" t="s">
        <v>13</v>
      </c>
      <c r="E316" s="9" t="s">
        <v>29</v>
      </c>
      <c r="F316" s="9" t="s">
        <v>41</v>
      </c>
      <c r="G316" s="9">
        <v>300</v>
      </c>
      <c r="H316" s="10">
        <v>914.82</v>
      </c>
      <c r="N316" s="11">
        <v>300</v>
      </c>
      <c r="O316" s="12">
        <v>914.82</v>
      </c>
    </row>
    <row r="317" spans="2:15" x14ac:dyDescent="0.2">
      <c r="B317" s="8">
        <v>38467.266667137825</v>
      </c>
      <c r="C317" s="9" t="s">
        <v>0</v>
      </c>
      <c r="D317" s="9" t="s">
        <v>9</v>
      </c>
      <c r="E317" s="9" t="s">
        <v>29</v>
      </c>
      <c r="F317" s="9" t="s">
        <v>41</v>
      </c>
      <c r="G317" s="9">
        <v>625</v>
      </c>
      <c r="H317" s="10">
        <v>1360.34</v>
      </c>
      <c r="N317" s="11">
        <v>625</v>
      </c>
      <c r="O317" s="12">
        <v>1360.34</v>
      </c>
    </row>
    <row r="318" spans="2:15" x14ac:dyDescent="0.2">
      <c r="B318" s="8">
        <v>38481.218484856006</v>
      </c>
      <c r="C318" s="9" t="s">
        <v>3</v>
      </c>
      <c r="D318" s="9" t="s">
        <v>5</v>
      </c>
      <c r="E318" s="9" t="s">
        <v>29</v>
      </c>
      <c r="F318" s="9" t="s">
        <v>41</v>
      </c>
      <c r="G318" s="9">
        <v>860</v>
      </c>
      <c r="H318" s="10">
        <v>2613.4499999999998</v>
      </c>
      <c r="N318" s="11">
        <v>860</v>
      </c>
      <c r="O318" s="12">
        <v>2613.4499999999998</v>
      </c>
    </row>
    <row r="319" spans="2:15" x14ac:dyDescent="0.2">
      <c r="B319" s="8">
        <v>38492.134086842547</v>
      </c>
      <c r="C319" s="9" t="s">
        <v>3</v>
      </c>
      <c r="D319" s="9" t="s">
        <v>14</v>
      </c>
      <c r="E319" s="9" t="s">
        <v>29</v>
      </c>
      <c r="F319" s="9" t="s">
        <v>41</v>
      </c>
      <c r="G319" s="9">
        <v>150</v>
      </c>
      <c r="H319" s="10">
        <v>491.44</v>
      </c>
      <c r="N319" s="11">
        <v>150</v>
      </c>
      <c r="O319" s="12">
        <v>491.44</v>
      </c>
    </row>
    <row r="320" spans="2:15" x14ac:dyDescent="0.2">
      <c r="B320" s="8">
        <v>38442.540137306016</v>
      </c>
      <c r="C320" s="9" t="s">
        <v>1</v>
      </c>
      <c r="D320" s="9" t="s">
        <v>20</v>
      </c>
      <c r="E320" s="9" t="s">
        <v>29</v>
      </c>
      <c r="F320" s="9" t="s">
        <v>27</v>
      </c>
      <c r="G320" s="9">
        <v>925</v>
      </c>
      <c r="H320" s="10">
        <v>2802.16</v>
      </c>
      <c r="N320" s="11">
        <v>925</v>
      </c>
      <c r="O320" s="12">
        <v>2802.16</v>
      </c>
    </row>
    <row r="321" spans="2:15" x14ac:dyDescent="0.2">
      <c r="B321" s="8">
        <v>38452.404601454102</v>
      </c>
      <c r="C321" s="9" t="s">
        <v>37</v>
      </c>
      <c r="D321" s="9" t="s">
        <v>8</v>
      </c>
      <c r="E321" s="9" t="s">
        <v>29</v>
      </c>
      <c r="F321" s="9" t="s">
        <v>27</v>
      </c>
      <c r="G321" s="9">
        <v>850</v>
      </c>
      <c r="H321" s="10">
        <v>2893.98</v>
      </c>
      <c r="N321" s="11">
        <v>850</v>
      </c>
      <c r="O321" s="12">
        <v>2893.98</v>
      </c>
    </row>
    <row r="322" spans="2:15" x14ac:dyDescent="0.2">
      <c r="B322" s="8">
        <v>38457.813629117758</v>
      </c>
      <c r="C322" s="9" t="s">
        <v>3</v>
      </c>
      <c r="D322" s="9" t="s">
        <v>11</v>
      </c>
      <c r="E322" s="9" t="s">
        <v>29</v>
      </c>
      <c r="F322" s="9" t="s">
        <v>27</v>
      </c>
      <c r="G322" s="9">
        <v>945</v>
      </c>
      <c r="H322" s="10">
        <v>3345.59</v>
      </c>
      <c r="N322" s="11">
        <v>945</v>
      </c>
      <c r="O322" s="12">
        <v>3345.59</v>
      </c>
    </row>
    <row r="323" spans="2:15" x14ac:dyDescent="0.2">
      <c r="B323" s="8">
        <v>38484.512074015365</v>
      </c>
      <c r="C323" s="9" t="s">
        <v>2</v>
      </c>
      <c r="D323" s="9" t="s">
        <v>8</v>
      </c>
      <c r="E323" s="9" t="s">
        <v>29</v>
      </c>
      <c r="F323" s="9" t="s">
        <v>27</v>
      </c>
      <c r="G323" s="9">
        <v>745</v>
      </c>
      <c r="H323" s="10">
        <v>2650.27</v>
      </c>
      <c r="N323" s="11">
        <v>745</v>
      </c>
      <c r="O323" s="12">
        <v>2650.27</v>
      </c>
    </row>
    <row r="324" spans="2:15" x14ac:dyDescent="0.2">
      <c r="B324" s="8">
        <v>38486.667409734633</v>
      </c>
      <c r="C324" s="9" t="s">
        <v>2</v>
      </c>
      <c r="D324" s="9" t="s">
        <v>17</v>
      </c>
      <c r="E324" s="9" t="s">
        <v>29</v>
      </c>
      <c r="F324" s="9" t="s">
        <v>27</v>
      </c>
      <c r="G324" s="9">
        <v>895</v>
      </c>
      <c r="H324" s="10">
        <v>3156.34</v>
      </c>
      <c r="N324" s="11">
        <v>895</v>
      </c>
      <c r="O324" s="12">
        <v>3156.34</v>
      </c>
    </row>
    <row r="325" spans="2:15" x14ac:dyDescent="0.2">
      <c r="B325" s="8">
        <v>38499.125785491044</v>
      </c>
      <c r="C325" s="9" t="s">
        <v>37</v>
      </c>
      <c r="D325" s="9" t="s">
        <v>10</v>
      </c>
      <c r="E325" s="9" t="s">
        <v>29</v>
      </c>
      <c r="F325" s="9" t="s">
        <v>27</v>
      </c>
      <c r="G325" s="9">
        <v>30</v>
      </c>
      <c r="H325" s="10">
        <v>101.61</v>
      </c>
      <c r="N325" s="11">
        <v>30</v>
      </c>
      <c r="O325" s="12">
        <v>101.61</v>
      </c>
    </row>
    <row r="326" spans="2:15" x14ac:dyDescent="0.2">
      <c r="B326" s="8">
        <v>38501.490702923089</v>
      </c>
      <c r="C326" s="9" t="s">
        <v>0</v>
      </c>
      <c r="D326" s="9" t="s">
        <v>9</v>
      </c>
      <c r="E326" s="9" t="s">
        <v>29</v>
      </c>
      <c r="F326" s="9" t="s">
        <v>27</v>
      </c>
      <c r="G326" s="9">
        <v>35</v>
      </c>
      <c r="H326" s="10">
        <v>120.82</v>
      </c>
      <c r="N326" s="11">
        <v>35</v>
      </c>
      <c r="O326" s="12">
        <v>120.82</v>
      </c>
    </row>
    <row r="327" spans="2:15" x14ac:dyDescent="0.2">
      <c r="B327" s="8">
        <v>38514.040576122628</v>
      </c>
      <c r="C327" s="9" t="s">
        <v>3</v>
      </c>
      <c r="D327" s="9" t="s">
        <v>19</v>
      </c>
      <c r="E327" s="9" t="s">
        <v>29</v>
      </c>
      <c r="F327" s="9" t="s">
        <v>27</v>
      </c>
      <c r="G327" s="9">
        <v>785</v>
      </c>
      <c r="H327" s="10">
        <v>3312.45</v>
      </c>
      <c r="N327" s="11">
        <v>785</v>
      </c>
      <c r="O327" s="12">
        <v>3312.45</v>
      </c>
    </row>
    <row r="328" spans="2:15" x14ac:dyDescent="0.2">
      <c r="B328" s="8">
        <v>38515.267679109122</v>
      </c>
      <c r="C328" s="9" t="s">
        <v>1</v>
      </c>
      <c r="D328" s="9" t="s">
        <v>9</v>
      </c>
      <c r="E328" s="9" t="s">
        <v>29</v>
      </c>
      <c r="F328" s="9" t="s">
        <v>27</v>
      </c>
      <c r="G328" s="9">
        <v>265</v>
      </c>
      <c r="H328" s="10">
        <v>936.05</v>
      </c>
      <c r="N328" s="11">
        <v>265</v>
      </c>
      <c r="O328" s="12">
        <v>936.05</v>
      </c>
    </row>
    <row r="329" spans="2:15" x14ac:dyDescent="0.2">
      <c r="B329" s="8">
        <v>38520.595139879057</v>
      </c>
      <c r="C329" s="9" t="s">
        <v>3</v>
      </c>
      <c r="D329" s="9" t="s">
        <v>15</v>
      </c>
      <c r="E329" s="9" t="s">
        <v>29</v>
      </c>
      <c r="F329" s="9" t="s">
        <v>27</v>
      </c>
      <c r="G329" s="9">
        <v>140</v>
      </c>
      <c r="H329" s="10">
        <v>474.99</v>
      </c>
      <c r="N329" s="11">
        <v>140</v>
      </c>
      <c r="O329" s="12">
        <v>474.99</v>
      </c>
    </row>
    <row r="330" spans="2:15" x14ac:dyDescent="0.2">
      <c r="B330" s="8">
        <v>38529.784413024623</v>
      </c>
      <c r="C330" s="9" t="s">
        <v>1</v>
      </c>
      <c r="D330" s="9" t="s">
        <v>9</v>
      </c>
      <c r="E330" s="9" t="s">
        <v>29</v>
      </c>
      <c r="F330" s="9" t="s">
        <v>27</v>
      </c>
      <c r="G330" s="9">
        <v>125</v>
      </c>
      <c r="H330" s="10">
        <v>420.82</v>
      </c>
      <c r="N330" s="11">
        <v>125</v>
      </c>
      <c r="O330" s="12">
        <v>420.82</v>
      </c>
    </row>
    <row r="331" spans="2:15" x14ac:dyDescent="0.2">
      <c r="B331" s="8">
        <v>38539.088286773658</v>
      </c>
      <c r="C331" s="9" t="s">
        <v>1</v>
      </c>
      <c r="D331" s="9" t="s">
        <v>24</v>
      </c>
      <c r="E331" s="9" t="s">
        <v>29</v>
      </c>
      <c r="F331" s="9" t="s">
        <v>27</v>
      </c>
      <c r="G331" s="9">
        <v>120</v>
      </c>
      <c r="H331" s="10">
        <v>878.73</v>
      </c>
      <c r="N331" s="11">
        <v>120</v>
      </c>
      <c r="O331" s="12">
        <v>878.73</v>
      </c>
    </row>
    <row r="332" spans="2:15" x14ac:dyDescent="0.2">
      <c r="B332" s="8">
        <v>38542.314754111147</v>
      </c>
      <c r="C332" s="9" t="s">
        <v>4</v>
      </c>
      <c r="D332" s="9" t="s">
        <v>9</v>
      </c>
      <c r="E332" s="9" t="s">
        <v>29</v>
      </c>
      <c r="F332" s="9" t="s">
        <v>27</v>
      </c>
      <c r="G332" s="9">
        <v>455</v>
      </c>
      <c r="H332" s="10">
        <v>1196.79</v>
      </c>
      <c r="N332" s="11">
        <v>455</v>
      </c>
      <c r="O332" s="12">
        <v>1196.79</v>
      </c>
    </row>
    <row r="333" spans="2:15" x14ac:dyDescent="0.2">
      <c r="B333" s="8">
        <v>38555.943412378248</v>
      </c>
      <c r="C333" s="9" t="s">
        <v>4</v>
      </c>
      <c r="D333" s="9" t="s">
        <v>20</v>
      </c>
      <c r="E333" s="9" t="s">
        <v>29</v>
      </c>
      <c r="F333" s="9" t="s">
        <v>27</v>
      </c>
      <c r="G333" s="9">
        <v>505</v>
      </c>
      <c r="H333" s="10">
        <v>1577.5</v>
      </c>
      <c r="N333" s="11">
        <v>505</v>
      </c>
      <c r="O333" s="12">
        <v>1577.5</v>
      </c>
    </row>
    <row r="334" spans="2:15" x14ac:dyDescent="0.2">
      <c r="B334" s="8">
        <v>38577.889563867655</v>
      </c>
      <c r="C334" s="9" t="s">
        <v>4</v>
      </c>
      <c r="D334" s="9" t="s">
        <v>17</v>
      </c>
      <c r="E334" s="9" t="s">
        <v>29</v>
      </c>
      <c r="F334" s="9" t="s">
        <v>27</v>
      </c>
      <c r="G334" s="9">
        <v>450</v>
      </c>
      <c r="H334" s="10">
        <v>1447.42</v>
      </c>
      <c r="N334" s="11">
        <v>450</v>
      </c>
      <c r="O334" s="12">
        <v>1447.42</v>
      </c>
    </row>
    <row r="335" spans="2:15" x14ac:dyDescent="0.2">
      <c r="B335" s="8">
        <v>38590.997432693453</v>
      </c>
      <c r="C335" s="9" t="s">
        <v>0</v>
      </c>
      <c r="D335" s="9" t="s">
        <v>12</v>
      </c>
      <c r="E335" s="9" t="s">
        <v>29</v>
      </c>
      <c r="F335" s="9" t="s">
        <v>27</v>
      </c>
      <c r="G335" s="9">
        <v>350</v>
      </c>
      <c r="H335" s="10">
        <v>2634</v>
      </c>
      <c r="N335" s="11">
        <v>350</v>
      </c>
      <c r="O335" s="12">
        <v>2634</v>
      </c>
    </row>
    <row r="336" spans="2:15" x14ac:dyDescent="0.2">
      <c r="B336" s="8">
        <v>38440.836786310239</v>
      </c>
      <c r="C336" s="9" t="s">
        <v>37</v>
      </c>
      <c r="D336" s="9" t="s">
        <v>8</v>
      </c>
      <c r="E336" s="9" t="s">
        <v>29</v>
      </c>
      <c r="F336" s="9" t="s">
        <v>38</v>
      </c>
      <c r="G336" s="9">
        <v>990</v>
      </c>
      <c r="H336" s="10">
        <v>7031.77</v>
      </c>
      <c r="N336" s="11">
        <v>990</v>
      </c>
      <c r="O336" s="12">
        <v>7031.77</v>
      </c>
    </row>
    <row r="337" spans="2:15" x14ac:dyDescent="0.2">
      <c r="B337" s="8">
        <v>38462.352063320548</v>
      </c>
      <c r="C337" s="9" t="s">
        <v>0</v>
      </c>
      <c r="D337" s="9" t="s">
        <v>17</v>
      </c>
      <c r="E337" s="9" t="s">
        <v>29</v>
      </c>
      <c r="F337" s="9" t="s">
        <v>38</v>
      </c>
      <c r="G337" s="9">
        <v>820</v>
      </c>
      <c r="H337" s="10">
        <v>5994.27</v>
      </c>
      <c r="N337" s="11">
        <v>820</v>
      </c>
      <c r="O337" s="12">
        <v>5994.27</v>
      </c>
    </row>
    <row r="338" spans="2:15" x14ac:dyDescent="0.2">
      <c r="B338" s="8">
        <v>38468.243602428724</v>
      </c>
      <c r="C338" s="9" t="s">
        <v>3</v>
      </c>
      <c r="D338" s="9" t="s">
        <v>9</v>
      </c>
      <c r="E338" s="9" t="s">
        <v>29</v>
      </c>
      <c r="F338" s="9" t="s">
        <v>38</v>
      </c>
      <c r="G338" s="9">
        <v>140</v>
      </c>
      <c r="H338" s="10">
        <v>665.84</v>
      </c>
      <c r="N338" s="11">
        <v>140</v>
      </c>
      <c r="O338" s="12">
        <v>665.84</v>
      </c>
    </row>
    <row r="339" spans="2:15" x14ac:dyDescent="0.2">
      <c r="B339" s="8">
        <v>38478.967854057104</v>
      </c>
      <c r="C339" s="9" t="s">
        <v>36</v>
      </c>
      <c r="D339" s="9" t="s">
        <v>7</v>
      </c>
      <c r="E339" s="9" t="s">
        <v>29</v>
      </c>
      <c r="F339" s="9" t="s">
        <v>38</v>
      </c>
      <c r="G339" s="9">
        <v>395</v>
      </c>
      <c r="H339" s="10">
        <v>3047.01</v>
      </c>
      <c r="N339" s="11">
        <v>395</v>
      </c>
      <c r="O339" s="12">
        <v>3047.01</v>
      </c>
    </row>
    <row r="340" spans="2:15" x14ac:dyDescent="0.2">
      <c r="B340" s="8">
        <v>38497.358318025108</v>
      </c>
      <c r="C340" s="9" t="s">
        <v>37</v>
      </c>
      <c r="D340" s="9" t="s">
        <v>7</v>
      </c>
      <c r="E340" s="9" t="s">
        <v>29</v>
      </c>
      <c r="F340" s="9" t="s">
        <v>38</v>
      </c>
      <c r="G340" s="9">
        <v>25</v>
      </c>
      <c r="H340" s="10">
        <v>201.22</v>
      </c>
      <c r="N340" s="11">
        <v>25</v>
      </c>
      <c r="O340" s="12">
        <v>201.22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F9F8-4F93-4AF6-8D0E-F2FDF83A4488}">
  <dimension ref="A2:O340"/>
  <sheetViews>
    <sheetView workbookViewId="0">
      <selection activeCell="D38" sqref="D38"/>
    </sheetView>
  </sheetViews>
  <sheetFormatPr defaultRowHeight="12.75" x14ac:dyDescent="0.2"/>
  <cols>
    <col min="1" max="1" width="18.140625" bestFit="1" customWidth="1"/>
    <col min="5" max="5" width="19.5703125" bestFit="1" customWidth="1"/>
    <col min="6" max="6" width="11.28515625" bestFit="1" customWidth="1"/>
    <col min="8" max="8" width="18.42578125" bestFit="1" customWidth="1"/>
    <col min="9" max="9" width="18.7109375" bestFit="1" customWidth="1"/>
    <col min="10" max="10" width="17.85546875" bestFit="1" customWidth="1"/>
    <col min="11" max="11" width="10.85546875" bestFit="1" customWidth="1"/>
    <col min="12" max="12" width="18.5703125" bestFit="1" customWidth="1"/>
    <col min="13" max="13" width="10.42578125" customWidth="1"/>
    <col min="14" max="14" width="12.7109375" bestFit="1" customWidth="1"/>
  </cols>
  <sheetData>
    <row r="2" spans="1:15" x14ac:dyDescent="0.2">
      <c r="A2" s="1" t="s">
        <v>30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</row>
    <row r="3" spans="1:15" x14ac:dyDescent="0.2">
      <c r="A3" s="4">
        <v>38407.489452039452</v>
      </c>
      <c r="B3">
        <v>1</v>
      </c>
      <c r="C3" t="str">
        <f>TEXT(A3,"YYY")</f>
        <v>2005</v>
      </c>
      <c r="F3" t="str">
        <f>TEXT(A3,"MMMM")</f>
        <v>February</v>
      </c>
    </row>
    <row r="4" spans="1:15" x14ac:dyDescent="0.2">
      <c r="A4" s="4">
        <v>38410.433606750827</v>
      </c>
      <c r="B4">
        <v>2</v>
      </c>
      <c r="C4" t="str">
        <f t="shared" ref="C4:C67" si="0">TEXT(A4,"YYY")</f>
        <v>2005</v>
      </c>
      <c r="F4" t="str">
        <f t="shared" ref="F4:F67" si="1">TEXT(A4,"MMMM")</f>
        <v>February</v>
      </c>
    </row>
    <row r="5" spans="1:15" x14ac:dyDescent="0.2">
      <c r="A5" s="4">
        <v>38411.878229510097</v>
      </c>
      <c r="B5">
        <v>3</v>
      </c>
      <c r="C5" t="str">
        <f t="shared" si="0"/>
        <v>2005</v>
      </c>
      <c r="F5" t="str">
        <f t="shared" si="1"/>
        <v>February</v>
      </c>
    </row>
    <row r="6" spans="1:15" x14ac:dyDescent="0.2">
      <c r="A6" s="4">
        <v>38416.753308547428</v>
      </c>
      <c r="B6">
        <v>4</v>
      </c>
      <c r="C6" t="str">
        <f t="shared" si="0"/>
        <v>2005</v>
      </c>
      <c r="F6" t="str">
        <f t="shared" si="1"/>
        <v>March</v>
      </c>
    </row>
    <row r="7" spans="1:15" x14ac:dyDescent="0.2">
      <c r="A7" s="4">
        <v>38418.1801149393</v>
      </c>
      <c r="B7">
        <v>5</v>
      </c>
      <c r="C7" t="str">
        <f t="shared" si="0"/>
        <v>2005</v>
      </c>
      <c r="F7" t="str">
        <f t="shared" si="1"/>
        <v>March</v>
      </c>
    </row>
    <row r="8" spans="1:15" x14ac:dyDescent="0.2">
      <c r="A8" s="4">
        <v>38418.260564735254</v>
      </c>
      <c r="B8">
        <v>6</v>
      </c>
      <c r="C8" t="str">
        <f t="shared" si="0"/>
        <v>2005</v>
      </c>
      <c r="F8" t="str">
        <f t="shared" si="1"/>
        <v>March</v>
      </c>
    </row>
    <row r="9" spans="1:15" x14ac:dyDescent="0.2">
      <c r="A9" s="4">
        <v>38418.613228464063</v>
      </c>
      <c r="B9">
        <v>7</v>
      </c>
      <c r="C9" t="str">
        <f t="shared" si="0"/>
        <v>2005</v>
      </c>
      <c r="F9" t="str">
        <f t="shared" si="1"/>
        <v>March</v>
      </c>
    </row>
    <row r="10" spans="1:15" x14ac:dyDescent="0.2">
      <c r="A10" s="4">
        <v>38421.232308921921</v>
      </c>
      <c r="B10">
        <v>8</v>
      </c>
      <c r="C10" t="str">
        <f t="shared" si="0"/>
        <v>2005</v>
      </c>
      <c r="F10" t="str">
        <f t="shared" si="1"/>
        <v>March</v>
      </c>
    </row>
    <row r="11" spans="1:15" x14ac:dyDescent="0.2">
      <c r="A11" s="4">
        <v>38423.897439834007</v>
      </c>
      <c r="B11">
        <v>9</v>
      </c>
      <c r="C11" t="str">
        <f t="shared" si="0"/>
        <v>2005</v>
      </c>
      <c r="F11" t="str">
        <f t="shared" si="1"/>
        <v>March</v>
      </c>
    </row>
    <row r="12" spans="1:15" x14ac:dyDescent="0.2">
      <c r="A12" s="4">
        <v>38424.316415309695</v>
      </c>
      <c r="B12">
        <v>10</v>
      </c>
      <c r="C12" t="str">
        <f t="shared" si="0"/>
        <v>2005</v>
      </c>
      <c r="F12" t="str">
        <f t="shared" si="1"/>
        <v>March</v>
      </c>
    </row>
    <row r="13" spans="1:15" x14ac:dyDescent="0.2">
      <c r="A13" s="4">
        <v>38427.558354236819</v>
      </c>
      <c r="B13">
        <v>11</v>
      </c>
      <c r="C13" t="str">
        <f t="shared" si="0"/>
        <v>2005</v>
      </c>
      <c r="F13" t="str">
        <f t="shared" si="1"/>
        <v>March</v>
      </c>
    </row>
    <row r="14" spans="1:15" x14ac:dyDescent="0.2">
      <c r="A14" s="4">
        <v>38428.399614839051</v>
      </c>
      <c r="B14">
        <v>12</v>
      </c>
      <c r="C14" t="str">
        <f t="shared" si="0"/>
        <v>2005</v>
      </c>
      <c r="F14" t="str">
        <f t="shared" si="1"/>
        <v>March</v>
      </c>
    </row>
    <row r="15" spans="1:15" x14ac:dyDescent="0.2">
      <c r="A15" s="4">
        <v>38429.149979887741</v>
      </c>
      <c r="B15">
        <v>13</v>
      </c>
      <c r="C15" t="str">
        <f t="shared" si="0"/>
        <v>2005</v>
      </c>
      <c r="F15" t="str">
        <f t="shared" si="1"/>
        <v>March</v>
      </c>
    </row>
    <row r="16" spans="1:15" x14ac:dyDescent="0.2">
      <c r="A16" s="4">
        <v>38429.738448938107</v>
      </c>
      <c r="B16">
        <v>14</v>
      </c>
      <c r="C16" t="str">
        <f t="shared" si="0"/>
        <v>2005</v>
      </c>
      <c r="F16" t="str">
        <f t="shared" si="1"/>
        <v>March</v>
      </c>
    </row>
    <row r="17" spans="1:6" x14ac:dyDescent="0.2">
      <c r="A17" s="4">
        <v>38430.485850910809</v>
      </c>
      <c r="B17">
        <v>15</v>
      </c>
      <c r="C17" t="str">
        <f t="shared" si="0"/>
        <v>2005</v>
      </c>
      <c r="F17" t="str">
        <f t="shared" si="1"/>
        <v>March</v>
      </c>
    </row>
    <row r="18" spans="1:6" x14ac:dyDescent="0.2">
      <c r="A18" s="4">
        <v>38431.436088493734</v>
      </c>
      <c r="B18">
        <v>16</v>
      </c>
      <c r="C18" t="str">
        <f t="shared" si="0"/>
        <v>2005</v>
      </c>
      <c r="F18" t="str">
        <f t="shared" si="1"/>
        <v>March</v>
      </c>
    </row>
    <row r="19" spans="1:6" x14ac:dyDescent="0.2">
      <c r="A19" s="4">
        <v>38431.605631451544</v>
      </c>
      <c r="B19">
        <v>17</v>
      </c>
      <c r="C19" t="str">
        <f t="shared" si="0"/>
        <v>2005</v>
      </c>
      <c r="F19" t="str">
        <f t="shared" si="1"/>
        <v>March</v>
      </c>
    </row>
    <row r="20" spans="1:6" x14ac:dyDescent="0.2">
      <c r="A20" s="4">
        <v>38431.715004332691</v>
      </c>
      <c r="B20">
        <v>18</v>
      </c>
      <c r="C20" t="str">
        <f t="shared" si="0"/>
        <v>2005</v>
      </c>
      <c r="F20" t="str">
        <f t="shared" si="1"/>
        <v>March</v>
      </c>
    </row>
    <row r="21" spans="1:6" x14ac:dyDescent="0.2">
      <c r="A21" s="4">
        <v>38431.998036309044</v>
      </c>
      <c r="B21">
        <v>19</v>
      </c>
      <c r="C21" t="str">
        <f t="shared" si="0"/>
        <v>2005</v>
      </c>
      <c r="F21" t="str">
        <f t="shared" si="1"/>
        <v>March</v>
      </c>
    </row>
    <row r="22" spans="1:6" x14ac:dyDescent="0.2">
      <c r="A22" s="4">
        <v>38432.18123974745</v>
      </c>
      <c r="B22">
        <v>20</v>
      </c>
      <c r="C22" t="str">
        <f t="shared" si="0"/>
        <v>2005</v>
      </c>
      <c r="F22" t="str">
        <f t="shared" si="1"/>
        <v>March</v>
      </c>
    </row>
    <row r="23" spans="1:6" x14ac:dyDescent="0.2">
      <c r="A23" s="4">
        <v>38432.393676598287</v>
      </c>
      <c r="B23">
        <v>21</v>
      </c>
      <c r="C23" t="str">
        <f t="shared" si="0"/>
        <v>2005</v>
      </c>
      <c r="F23" t="str">
        <f t="shared" si="1"/>
        <v>March</v>
      </c>
    </row>
    <row r="24" spans="1:6" x14ac:dyDescent="0.2">
      <c r="A24" s="4">
        <v>38432.700973086314</v>
      </c>
      <c r="B24">
        <v>22</v>
      </c>
      <c r="C24" t="str">
        <f t="shared" si="0"/>
        <v>2005</v>
      </c>
      <c r="F24" t="str">
        <f t="shared" si="1"/>
        <v>March</v>
      </c>
    </row>
    <row r="25" spans="1:6" x14ac:dyDescent="0.2">
      <c r="A25" s="4">
        <v>38433.391879448944</v>
      </c>
      <c r="B25">
        <v>23</v>
      </c>
      <c r="C25" t="str">
        <f t="shared" si="0"/>
        <v>2005</v>
      </c>
      <c r="F25" t="str">
        <f t="shared" si="1"/>
        <v>March</v>
      </c>
    </row>
    <row r="26" spans="1:6" x14ac:dyDescent="0.2">
      <c r="A26" s="4">
        <v>38435.148331771787</v>
      </c>
      <c r="B26">
        <v>24</v>
      </c>
      <c r="C26" t="str">
        <f t="shared" si="0"/>
        <v>2005</v>
      </c>
      <c r="F26" t="str">
        <f t="shared" si="1"/>
        <v>March</v>
      </c>
    </row>
    <row r="27" spans="1:6" x14ac:dyDescent="0.2">
      <c r="A27" s="4">
        <v>38435.690081368361</v>
      </c>
      <c r="B27">
        <v>25</v>
      </c>
      <c r="C27" t="str">
        <f t="shared" si="0"/>
        <v>2005</v>
      </c>
      <c r="F27" t="str">
        <f t="shared" si="1"/>
        <v>March</v>
      </c>
    </row>
    <row r="28" spans="1:6" x14ac:dyDescent="0.2">
      <c r="A28" s="4">
        <v>38436.582005767676</v>
      </c>
      <c r="B28">
        <v>26</v>
      </c>
      <c r="C28" t="str">
        <f t="shared" si="0"/>
        <v>2005</v>
      </c>
      <c r="F28" t="str">
        <f t="shared" si="1"/>
        <v>March</v>
      </c>
    </row>
    <row r="29" spans="1:6" x14ac:dyDescent="0.2">
      <c r="A29" s="4">
        <v>38438.420954070956</v>
      </c>
      <c r="B29">
        <v>27</v>
      </c>
      <c r="C29" t="str">
        <f t="shared" si="0"/>
        <v>2005</v>
      </c>
      <c r="F29" t="str">
        <f t="shared" si="1"/>
        <v>March</v>
      </c>
    </row>
    <row r="30" spans="1:6" x14ac:dyDescent="0.2">
      <c r="A30" s="4">
        <v>38440.79522832096</v>
      </c>
      <c r="B30">
        <v>28</v>
      </c>
      <c r="C30" t="str">
        <f t="shared" si="0"/>
        <v>2005</v>
      </c>
      <c r="F30" t="str">
        <f t="shared" si="1"/>
        <v>March</v>
      </c>
    </row>
    <row r="31" spans="1:6" x14ac:dyDescent="0.2">
      <c r="A31" s="4">
        <v>38440.836786310239</v>
      </c>
      <c r="B31">
        <v>29</v>
      </c>
      <c r="C31" t="str">
        <f t="shared" si="0"/>
        <v>2005</v>
      </c>
      <c r="F31" t="str">
        <f t="shared" si="1"/>
        <v>March</v>
      </c>
    </row>
    <row r="32" spans="1:6" x14ac:dyDescent="0.2">
      <c r="A32" s="4">
        <v>38441.291351740379</v>
      </c>
      <c r="B32">
        <v>30</v>
      </c>
      <c r="C32" t="str">
        <f t="shared" si="0"/>
        <v>2005</v>
      </c>
      <c r="F32" t="str">
        <f t="shared" si="1"/>
        <v>March</v>
      </c>
    </row>
    <row r="33" spans="1:6" x14ac:dyDescent="0.2">
      <c r="A33" s="4">
        <v>38441.718210335959</v>
      </c>
      <c r="B33">
        <v>31</v>
      </c>
      <c r="C33" t="str">
        <f t="shared" si="0"/>
        <v>2005</v>
      </c>
      <c r="F33" t="str">
        <f t="shared" si="1"/>
        <v>March</v>
      </c>
    </row>
    <row r="34" spans="1:6" x14ac:dyDescent="0.2">
      <c r="A34" s="4">
        <v>38442.540137306016</v>
      </c>
      <c r="B34">
        <v>32</v>
      </c>
      <c r="C34" t="str">
        <f t="shared" si="0"/>
        <v>2005</v>
      </c>
      <c r="F34" t="str">
        <f t="shared" si="1"/>
        <v>March</v>
      </c>
    </row>
    <row r="35" spans="1:6" x14ac:dyDescent="0.2">
      <c r="A35" s="4">
        <v>38443.752990675406</v>
      </c>
      <c r="B35">
        <v>33</v>
      </c>
      <c r="C35" t="str">
        <f t="shared" si="0"/>
        <v>2005</v>
      </c>
      <c r="F35" t="str">
        <f t="shared" si="1"/>
        <v>April</v>
      </c>
    </row>
    <row r="36" spans="1:6" x14ac:dyDescent="0.2">
      <c r="A36" s="4">
        <v>38444.149464252914</v>
      </c>
      <c r="B36">
        <v>34</v>
      </c>
      <c r="C36" t="str">
        <f t="shared" si="0"/>
        <v>2005</v>
      </c>
      <c r="F36" t="str">
        <f t="shared" si="1"/>
        <v>April</v>
      </c>
    </row>
    <row r="37" spans="1:6" x14ac:dyDescent="0.2">
      <c r="A37" s="4">
        <v>38444.675799187506</v>
      </c>
      <c r="B37">
        <v>35</v>
      </c>
      <c r="C37" t="str">
        <f t="shared" si="0"/>
        <v>2005</v>
      </c>
      <c r="F37" t="str">
        <f t="shared" si="1"/>
        <v>April</v>
      </c>
    </row>
    <row r="38" spans="1:6" x14ac:dyDescent="0.2">
      <c r="A38" s="4">
        <v>38445.24790862175</v>
      </c>
      <c r="B38">
        <v>36</v>
      </c>
      <c r="C38" t="str">
        <f t="shared" si="0"/>
        <v>2005</v>
      </c>
      <c r="F38" t="str">
        <f t="shared" si="1"/>
        <v>April</v>
      </c>
    </row>
    <row r="39" spans="1:6" x14ac:dyDescent="0.2">
      <c r="A39" s="4">
        <v>38445.461845642472</v>
      </c>
      <c r="B39">
        <v>37</v>
      </c>
      <c r="C39" t="str">
        <f t="shared" si="0"/>
        <v>2005</v>
      </c>
      <c r="F39" t="str">
        <f t="shared" si="1"/>
        <v>April</v>
      </c>
    </row>
    <row r="40" spans="1:6" x14ac:dyDescent="0.2">
      <c r="A40" s="4">
        <v>38445.867356571049</v>
      </c>
      <c r="B40">
        <v>38</v>
      </c>
      <c r="C40" t="str">
        <f t="shared" si="0"/>
        <v>2005</v>
      </c>
      <c r="F40" t="str">
        <f t="shared" si="1"/>
        <v>April</v>
      </c>
    </row>
    <row r="41" spans="1:6" x14ac:dyDescent="0.2">
      <c r="A41" s="4">
        <v>38447.342853423346</v>
      </c>
      <c r="B41">
        <v>39</v>
      </c>
      <c r="C41" t="str">
        <f t="shared" si="0"/>
        <v>2005</v>
      </c>
      <c r="F41" t="str">
        <f t="shared" si="1"/>
        <v>April</v>
      </c>
    </row>
    <row r="42" spans="1:6" x14ac:dyDescent="0.2">
      <c r="A42" s="4">
        <v>38448.178420534707</v>
      </c>
      <c r="B42">
        <v>40</v>
      </c>
      <c r="C42" t="str">
        <f t="shared" si="0"/>
        <v>2005</v>
      </c>
      <c r="F42" t="str">
        <f t="shared" si="1"/>
        <v>April</v>
      </c>
    </row>
    <row r="43" spans="1:6" x14ac:dyDescent="0.2">
      <c r="A43" s="4">
        <v>38448.469979821479</v>
      </c>
      <c r="B43">
        <v>41</v>
      </c>
      <c r="C43" t="str">
        <f t="shared" si="0"/>
        <v>2005</v>
      </c>
      <c r="F43" t="str">
        <f t="shared" si="1"/>
        <v>April</v>
      </c>
    </row>
    <row r="44" spans="1:6" x14ac:dyDescent="0.2">
      <c r="A44" s="4">
        <v>38449.930039168656</v>
      </c>
      <c r="B44">
        <v>42</v>
      </c>
      <c r="C44" t="str">
        <f t="shared" si="0"/>
        <v>2005</v>
      </c>
      <c r="F44" t="str">
        <f t="shared" si="1"/>
        <v>April</v>
      </c>
    </row>
    <row r="45" spans="1:6" x14ac:dyDescent="0.2">
      <c r="A45" s="4">
        <v>38450.367884188629</v>
      </c>
      <c r="B45">
        <v>43</v>
      </c>
      <c r="C45" t="str">
        <f t="shared" si="0"/>
        <v>2005</v>
      </c>
      <c r="F45" t="str">
        <f t="shared" si="1"/>
        <v>April</v>
      </c>
    </row>
    <row r="46" spans="1:6" x14ac:dyDescent="0.2">
      <c r="A46" s="4">
        <v>38450.792966549452</v>
      </c>
      <c r="B46">
        <v>44</v>
      </c>
      <c r="C46" t="str">
        <f t="shared" si="0"/>
        <v>2005</v>
      </c>
      <c r="F46" t="str">
        <f t="shared" si="1"/>
        <v>April</v>
      </c>
    </row>
    <row r="47" spans="1:6" x14ac:dyDescent="0.2">
      <c r="A47" s="4">
        <v>38451.509657267168</v>
      </c>
      <c r="B47">
        <v>45</v>
      </c>
      <c r="C47" t="str">
        <f t="shared" si="0"/>
        <v>2005</v>
      </c>
      <c r="F47" t="str">
        <f t="shared" si="1"/>
        <v>April</v>
      </c>
    </row>
    <row r="48" spans="1:6" x14ac:dyDescent="0.2">
      <c r="A48" s="4">
        <v>38451.528218503103</v>
      </c>
      <c r="B48">
        <v>46</v>
      </c>
      <c r="C48" t="str">
        <f t="shared" si="0"/>
        <v>2005</v>
      </c>
      <c r="F48" t="str">
        <f t="shared" si="1"/>
        <v>April</v>
      </c>
    </row>
    <row r="49" spans="1:6" x14ac:dyDescent="0.2">
      <c r="A49" s="4">
        <v>38451.627441863886</v>
      </c>
      <c r="B49">
        <v>47</v>
      </c>
      <c r="C49" t="str">
        <f t="shared" si="0"/>
        <v>2005</v>
      </c>
      <c r="F49" t="str">
        <f t="shared" si="1"/>
        <v>April</v>
      </c>
    </row>
    <row r="50" spans="1:6" x14ac:dyDescent="0.2">
      <c r="A50" s="4">
        <v>38451.899413907253</v>
      </c>
      <c r="B50">
        <v>48</v>
      </c>
      <c r="C50" t="str">
        <f t="shared" si="0"/>
        <v>2005</v>
      </c>
      <c r="F50" t="str">
        <f t="shared" si="1"/>
        <v>April</v>
      </c>
    </row>
    <row r="51" spans="1:6" x14ac:dyDescent="0.2">
      <c r="A51" s="4">
        <v>38452.064941210228</v>
      </c>
      <c r="B51">
        <v>49</v>
      </c>
      <c r="C51" t="str">
        <f t="shared" si="0"/>
        <v>2005</v>
      </c>
      <c r="F51" t="str">
        <f t="shared" si="1"/>
        <v>April</v>
      </c>
    </row>
    <row r="52" spans="1:6" x14ac:dyDescent="0.2">
      <c r="A52" s="4">
        <v>38452.404601454102</v>
      </c>
      <c r="B52">
        <v>50</v>
      </c>
      <c r="C52" t="str">
        <f t="shared" si="0"/>
        <v>2005</v>
      </c>
      <c r="F52" t="str">
        <f t="shared" si="1"/>
        <v>April</v>
      </c>
    </row>
    <row r="53" spans="1:6" x14ac:dyDescent="0.2">
      <c r="A53" s="4">
        <v>38452.596351119471</v>
      </c>
      <c r="B53">
        <v>51</v>
      </c>
      <c r="C53" t="str">
        <f t="shared" si="0"/>
        <v>2005</v>
      </c>
      <c r="F53" t="str">
        <f t="shared" si="1"/>
        <v>April</v>
      </c>
    </row>
    <row r="54" spans="1:6" x14ac:dyDescent="0.2">
      <c r="A54" s="4">
        <v>38454.479317610247</v>
      </c>
      <c r="B54">
        <v>52</v>
      </c>
      <c r="C54" t="str">
        <f t="shared" si="0"/>
        <v>2005</v>
      </c>
      <c r="F54" t="str">
        <f t="shared" si="1"/>
        <v>April</v>
      </c>
    </row>
    <row r="55" spans="1:6" x14ac:dyDescent="0.2">
      <c r="A55" s="4">
        <v>38455.299489112374</v>
      </c>
      <c r="B55">
        <v>53</v>
      </c>
      <c r="C55" t="str">
        <f t="shared" si="0"/>
        <v>2005</v>
      </c>
      <c r="F55" t="str">
        <f t="shared" si="1"/>
        <v>April</v>
      </c>
    </row>
    <row r="56" spans="1:6" x14ac:dyDescent="0.2">
      <c r="A56" s="4">
        <v>38455.390652645903</v>
      </c>
      <c r="B56">
        <v>54</v>
      </c>
      <c r="C56" t="str">
        <f t="shared" si="0"/>
        <v>2005</v>
      </c>
      <c r="F56" t="str">
        <f t="shared" si="1"/>
        <v>April</v>
      </c>
    </row>
    <row r="57" spans="1:6" x14ac:dyDescent="0.2">
      <c r="A57" s="4">
        <v>38455.408400777989</v>
      </c>
      <c r="B57">
        <v>55</v>
      </c>
      <c r="C57" t="str">
        <f t="shared" si="0"/>
        <v>2005</v>
      </c>
      <c r="F57" t="str">
        <f t="shared" si="1"/>
        <v>April</v>
      </c>
    </row>
    <row r="58" spans="1:6" x14ac:dyDescent="0.2">
      <c r="A58" s="4">
        <v>38455.58567519729</v>
      </c>
      <c r="B58">
        <v>56</v>
      </c>
      <c r="C58" t="str">
        <f t="shared" si="0"/>
        <v>2005</v>
      </c>
      <c r="F58" t="str">
        <f t="shared" si="1"/>
        <v>April</v>
      </c>
    </row>
    <row r="59" spans="1:6" x14ac:dyDescent="0.2">
      <c r="A59" s="4">
        <v>38455.795931291883</v>
      </c>
      <c r="B59">
        <v>57</v>
      </c>
      <c r="C59" t="str">
        <f t="shared" si="0"/>
        <v>2005</v>
      </c>
      <c r="F59" t="str">
        <f t="shared" si="1"/>
        <v>April</v>
      </c>
    </row>
    <row r="60" spans="1:6" x14ac:dyDescent="0.2">
      <c r="A60" s="4">
        <v>38455.796169425936</v>
      </c>
      <c r="B60">
        <v>58</v>
      </c>
      <c r="C60" t="str">
        <f t="shared" si="0"/>
        <v>2005</v>
      </c>
      <c r="F60" t="str">
        <f t="shared" si="1"/>
        <v>April</v>
      </c>
    </row>
    <row r="61" spans="1:6" x14ac:dyDescent="0.2">
      <c r="A61" s="4">
        <v>38455.849240293079</v>
      </c>
      <c r="B61">
        <v>59</v>
      </c>
      <c r="C61" t="str">
        <f t="shared" si="0"/>
        <v>2005</v>
      </c>
      <c r="F61" t="str">
        <f t="shared" si="1"/>
        <v>April</v>
      </c>
    </row>
    <row r="62" spans="1:6" x14ac:dyDescent="0.2">
      <c r="A62" s="4">
        <v>38456.360026124261</v>
      </c>
      <c r="B62">
        <v>60</v>
      </c>
      <c r="C62" t="str">
        <f t="shared" si="0"/>
        <v>2005</v>
      </c>
      <c r="F62" t="str">
        <f t="shared" si="1"/>
        <v>April</v>
      </c>
    </row>
    <row r="63" spans="1:6" x14ac:dyDescent="0.2">
      <c r="A63" s="4">
        <v>38456.448092118102</v>
      </c>
      <c r="B63">
        <v>61</v>
      </c>
      <c r="C63" t="str">
        <f t="shared" si="0"/>
        <v>2005</v>
      </c>
      <c r="F63" t="str">
        <f t="shared" si="1"/>
        <v>April</v>
      </c>
    </row>
    <row r="64" spans="1:6" x14ac:dyDescent="0.2">
      <c r="A64" s="4">
        <v>38456.637867283607</v>
      </c>
      <c r="B64">
        <v>62</v>
      </c>
      <c r="C64" t="str">
        <f t="shared" si="0"/>
        <v>2005</v>
      </c>
      <c r="F64" t="str">
        <f t="shared" si="1"/>
        <v>April</v>
      </c>
    </row>
    <row r="65" spans="1:6" x14ac:dyDescent="0.2">
      <c r="A65" s="4">
        <v>38456.818680538738</v>
      </c>
      <c r="B65">
        <v>63</v>
      </c>
      <c r="C65" t="str">
        <f t="shared" si="0"/>
        <v>2005</v>
      </c>
      <c r="F65" t="str">
        <f t="shared" si="1"/>
        <v>April</v>
      </c>
    </row>
    <row r="66" spans="1:6" x14ac:dyDescent="0.2">
      <c r="A66" s="4">
        <v>38457.104672375455</v>
      </c>
      <c r="B66">
        <v>64</v>
      </c>
      <c r="C66" t="str">
        <f t="shared" si="0"/>
        <v>2005</v>
      </c>
      <c r="F66" t="str">
        <f t="shared" si="1"/>
        <v>April</v>
      </c>
    </row>
    <row r="67" spans="1:6" x14ac:dyDescent="0.2">
      <c r="A67" s="4">
        <v>38457.642464196288</v>
      </c>
      <c r="B67">
        <v>65</v>
      </c>
      <c r="C67" t="str">
        <f t="shared" si="0"/>
        <v>2005</v>
      </c>
      <c r="F67" t="str">
        <f t="shared" si="1"/>
        <v>April</v>
      </c>
    </row>
    <row r="68" spans="1:6" x14ac:dyDescent="0.2">
      <c r="A68" s="4">
        <v>38457.813629117758</v>
      </c>
      <c r="B68">
        <v>66</v>
      </c>
      <c r="C68" t="str">
        <f t="shared" ref="C68:C131" si="2">TEXT(A68,"YYY")</f>
        <v>2005</v>
      </c>
      <c r="F68" t="str">
        <f t="shared" ref="F68:F131" si="3">TEXT(A68,"MMMM")</f>
        <v>April</v>
      </c>
    </row>
    <row r="69" spans="1:6" x14ac:dyDescent="0.2">
      <c r="A69" s="4">
        <v>38458.92498304139</v>
      </c>
      <c r="B69">
        <v>67</v>
      </c>
      <c r="C69" t="str">
        <f t="shared" si="2"/>
        <v>2005</v>
      </c>
      <c r="F69" t="str">
        <f t="shared" si="3"/>
        <v>April</v>
      </c>
    </row>
    <row r="70" spans="1:6" x14ac:dyDescent="0.2">
      <c r="A70" s="4">
        <v>38458.96712754928</v>
      </c>
      <c r="B70">
        <v>68</v>
      </c>
      <c r="C70" t="str">
        <f t="shared" si="2"/>
        <v>2005</v>
      </c>
      <c r="F70" t="str">
        <f t="shared" si="3"/>
        <v>April</v>
      </c>
    </row>
    <row r="71" spans="1:6" x14ac:dyDescent="0.2">
      <c r="A71" s="4">
        <v>38459.460679112373</v>
      </c>
      <c r="B71">
        <v>69</v>
      </c>
      <c r="C71" t="str">
        <f t="shared" si="2"/>
        <v>2005</v>
      </c>
      <c r="F71" t="str">
        <f t="shared" si="3"/>
        <v>April</v>
      </c>
    </row>
    <row r="72" spans="1:6" x14ac:dyDescent="0.2">
      <c r="A72" s="4">
        <v>38459.684477900068</v>
      </c>
      <c r="B72">
        <v>70</v>
      </c>
      <c r="C72" t="str">
        <f t="shared" si="2"/>
        <v>2005</v>
      </c>
      <c r="F72" t="str">
        <f t="shared" si="3"/>
        <v>April</v>
      </c>
    </row>
    <row r="73" spans="1:6" x14ac:dyDescent="0.2">
      <c r="A73" s="4">
        <v>38459.836643890783</v>
      </c>
      <c r="B73">
        <v>71</v>
      </c>
      <c r="C73" t="str">
        <f t="shared" si="2"/>
        <v>2005</v>
      </c>
      <c r="F73" t="str">
        <f t="shared" si="3"/>
        <v>April</v>
      </c>
    </row>
    <row r="74" spans="1:6" x14ac:dyDescent="0.2">
      <c r="A74" s="4">
        <v>38460.06335496933</v>
      </c>
      <c r="B74">
        <v>72</v>
      </c>
      <c r="C74" t="str">
        <f t="shared" si="2"/>
        <v>2005</v>
      </c>
      <c r="F74" t="str">
        <f t="shared" si="3"/>
        <v>April</v>
      </c>
    </row>
    <row r="75" spans="1:6" x14ac:dyDescent="0.2">
      <c r="A75" s="4">
        <v>38461.017295312966</v>
      </c>
      <c r="B75">
        <v>73</v>
      </c>
      <c r="C75" t="str">
        <f t="shared" si="2"/>
        <v>2005</v>
      </c>
      <c r="F75" t="str">
        <f t="shared" si="3"/>
        <v>April</v>
      </c>
    </row>
    <row r="76" spans="1:6" x14ac:dyDescent="0.2">
      <c r="A76" s="4">
        <v>38461.045290701331</v>
      </c>
      <c r="B76">
        <v>74</v>
      </c>
      <c r="C76" t="str">
        <f t="shared" si="2"/>
        <v>2005</v>
      </c>
      <c r="F76" t="str">
        <f t="shared" si="3"/>
        <v>April</v>
      </c>
    </row>
    <row r="77" spans="1:6" x14ac:dyDescent="0.2">
      <c r="A77" s="4">
        <v>38461.238211467942</v>
      </c>
      <c r="B77">
        <v>75</v>
      </c>
      <c r="C77" t="str">
        <f t="shared" si="2"/>
        <v>2005</v>
      </c>
      <c r="F77" t="str">
        <f t="shared" si="3"/>
        <v>April</v>
      </c>
    </row>
    <row r="78" spans="1:6" x14ac:dyDescent="0.2">
      <c r="A78" s="4">
        <v>38461.583673806999</v>
      </c>
      <c r="B78">
        <v>76</v>
      </c>
      <c r="C78" t="str">
        <f t="shared" si="2"/>
        <v>2005</v>
      </c>
      <c r="F78" t="str">
        <f t="shared" si="3"/>
        <v>April</v>
      </c>
    </row>
    <row r="79" spans="1:6" x14ac:dyDescent="0.2">
      <c r="A79" s="4">
        <v>38461.680381568105</v>
      </c>
      <c r="B79">
        <v>77</v>
      </c>
      <c r="C79" t="str">
        <f t="shared" si="2"/>
        <v>2005</v>
      </c>
      <c r="F79" t="str">
        <f t="shared" si="3"/>
        <v>April</v>
      </c>
    </row>
    <row r="80" spans="1:6" x14ac:dyDescent="0.2">
      <c r="A80" s="4">
        <v>38462.352063320548</v>
      </c>
      <c r="B80">
        <v>78</v>
      </c>
      <c r="C80" t="str">
        <f t="shared" si="2"/>
        <v>2005</v>
      </c>
      <c r="F80" t="str">
        <f t="shared" si="3"/>
        <v>April</v>
      </c>
    </row>
    <row r="81" spans="1:6" x14ac:dyDescent="0.2">
      <c r="A81" s="4">
        <v>38462.413214898712</v>
      </c>
      <c r="B81">
        <v>79</v>
      </c>
      <c r="C81" t="str">
        <f t="shared" si="2"/>
        <v>2005</v>
      </c>
      <c r="F81" t="str">
        <f t="shared" si="3"/>
        <v>April</v>
      </c>
    </row>
    <row r="82" spans="1:6" x14ac:dyDescent="0.2">
      <c r="A82" s="4">
        <v>38462.711360584886</v>
      </c>
      <c r="B82">
        <v>80</v>
      </c>
      <c r="C82" t="str">
        <f t="shared" si="2"/>
        <v>2005</v>
      </c>
      <c r="F82" t="str">
        <f t="shared" si="3"/>
        <v>April</v>
      </c>
    </row>
    <row r="83" spans="1:6" x14ac:dyDescent="0.2">
      <c r="A83" s="4">
        <v>38463.129400394471</v>
      </c>
      <c r="B83">
        <v>81</v>
      </c>
      <c r="C83" t="str">
        <f t="shared" si="2"/>
        <v>2005</v>
      </c>
      <c r="F83" t="str">
        <f t="shared" si="3"/>
        <v>April</v>
      </c>
    </row>
    <row r="84" spans="1:6" x14ac:dyDescent="0.2">
      <c r="A84" s="4">
        <v>38463.159340965103</v>
      </c>
      <c r="B84">
        <v>82</v>
      </c>
      <c r="C84" t="str">
        <f t="shared" si="2"/>
        <v>2005</v>
      </c>
      <c r="F84" t="str">
        <f t="shared" si="3"/>
        <v>April</v>
      </c>
    </row>
    <row r="85" spans="1:6" x14ac:dyDescent="0.2">
      <c r="A85" s="4">
        <v>38463.319813250149</v>
      </c>
      <c r="B85">
        <v>83</v>
      </c>
      <c r="C85" t="str">
        <f t="shared" si="2"/>
        <v>2005</v>
      </c>
      <c r="F85" t="str">
        <f t="shared" si="3"/>
        <v>April</v>
      </c>
    </row>
    <row r="86" spans="1:6" x14ac:dyDescent="0.2">
      <c r="A86" s="4">
        <v>38463.835817390674</v>
      </c>
      <c r="B86">
        <v>84</v>
      </c>
      <c r="C86" t="str">
        <f t="shared" si="2"/>
        <v>2005</v>
      </c>
      <c r="F86" t="str">
        <f t="shared" si="3"/>
        <v>April</v>
      </c>
    </row>
    <row r="87" spans="1:6" x14ac:dyDescent="0.2">
      <c r="A87" s="4">
        <v>38464.014275481975</v>
      </c>
      <c r="B87">
        <v>85</v>
      </c>
      <c r="C87" t="str">
        <f t="shared" si="2"/>
        <v>2005</v>
      </c>
      <c r="F87" t="str">
        <f t="shared" si="3"/>
        <v>April</v>
      </c>
    </row>
    <row r="88" spans="1:6" x14ac:dyDescent="0.2">
      <c r="A88" s="4">
        <v>38464.191090280423</v>
      </c>
      <c r="B88">
        <v>86</v>
      </c>
      <c r="C88" t="str">
        <f t="shared" si="2"/>
        <v>2005</v>
      </c>
      <c r="F88" t="str">
        <f t="shared" si="3"/>
        <v>April</v>
      </c>
    </row>
    <row r="89" spans="1:6" x14ac:dyDescent="0.2">
      <c r="A89" s="4">
        <v>38464.608830819656</v>
      </c>
      <c r="B89">
        <v>87</v>
      </c>
      <c r="C89" t="str">
        <f t="shared" si="2"/>
        <v>2005</v>
      </c>
      <c r="F89" t="str">
        <f t="shared" si="3"/>
        <v>April</v>
      </c>
    </row>
    <row r="90" spans="1:6" x14ac:dyDescent="0.2">
      <c r="A90" s="4">
        <v>38464.789142804395</v>
      </c>
      <c r="B90">
        <v>88</v>
      </c>
      <c r="C90" t="str">
        <f t="shared" si="2"/>
        <v>2005</v>
      </c>
      <c r="F90" t="str">
        <f t="shared" si="3"/>
        <v>April</v>
      </c>
    </row>
    <row r="91" spans="1:6" x14ac:dyDescent="0.2">
      <c r="A91" s="4">
        <v>38465.224519692187</v>
      </c>
      <c r="B91">
        <v>89</v>
      </c>
      <c r="C91" t="str">
        <f t="shared" si="2"/>
        <v>2005</v>
      </c>
      <c r="F91" t="str">
        <f t="shared" si="3"/>
        <v>April</v>
      </c>
    </row>
    <row r="92" spans="1:6" x14ac:dyDescent="0.2">
      <c r="A92" s="4">
        <v>38465.428697474556</v>
      </c>
      <c r="B92">
        <v>90</v>
      </c>
      <c r="C92" t="str">
        <f t="shared" si="2"/>
        <v>2005</v>
      </c>
      <c r="F92" t="str">
        <f t="shared" si="3"/>
        <v>April</v>
      </c>
    </row>
    <row r="93" spans="1:6" x14ac:dyDescent="0.2">
      <c r="A93" s="4">
        <v>38465.887519978787</v>
      </c>
      <c r="B93">
        <v>91</v>
      </c>
      <c r="C93" t="str">
        <f t="shared" si="2"/>
        <v>2005</v>
      </c>
      <c r="F93" t="str">
        <f t="shared" si="3"/>
        <v>April</v>
      </c>
    </row>
    <row r="94" spans="1:6" x14ac:dyDescent="0.2">
      <c r="A94" s="4">
        <v>38465.975864976594</v>
      </c>
      <c r="B94">
        <v>92</v>
      </c>
      <c r="C94" t="str">
        <f t="shared" si="2"/>
        <v>2005</v>
      </c>
      <c r="F94" t="str">
        <f t="shared" si="3"/>
        <v>April</v>
      </c>
    </row>
    <row r="95" spans="1:6" x14ac:dyDescent="0.2">
      <c r="A95" s="4">
        <v>38466.119198199711</v>
      </c>
      <c r="B95">
        <v>93</v>
      </c>
      <c r="C95" t="str">
        <f t="shared" si="2"/>
        <v>2005</v>
      </c>
      <c r="F95" t="str">
        <f t="shared" si="3"/>
        <v>April</v>
      </c>
    </row>
    <row r="96" spans="1:6" x14ac:dyDescent="0.2">
      <c r="A96" s="4">
        <v>38466.56749600359</v>
      </c>
      <c r="B96">
        <v>94</v>
      </c>
      <c r="C96" t="str">
        <f t="shared" si="2"/>
        <v>2005</v>
      </c>
      <c r="F96" t="str">
        <f t="shared" si="3"/>
        <v>April</v>
      </c>
    </row>
    <row r="97" spans="1:6" x14ac:dyDescent="0.2">
      <c r="A97" s="4">
        <v>38466.725465985262</v>
      </c>
      <c r="B97">
        <v>95</v>
      </c>
      <c r="C97" t="str">
        <f t="shared" si="2"/>
        <v>2005</v>
      </c>
      <c r="F97" t="str">
        <f t="shared" si="3"/>
        <v>April</v>
      </c>
    </row>
    <row r="98" spans="1:6" x14ac:dyDescent="0.2">
      <c r="A98" s="4">
        <v>38467.266667137825</v>
      </c>
      <c r="B98">
        <v>96</v>
      </c>
      <c r="C98" t="str">
        <f t="shared" si="2"/>
        <v>2005</v>
      </c>
      <c r="F98" t="str">
        <f t="shared" si="3"/>
        <v>April</v>
      </c>
    </row>
    <row r="99" spans="1:6" x14ac:dyDescent="0.2">
      <c r="A99" s="4">
        <v>38467.558501326203</v>
      </c>
      <c r="B99">
        <v>97</v>
      </c>
      <c r="C99" t="str">
        <f t="shared" si="2"/>
        <v>2005</v>
      </c>
      <c r="F99" t="str">
        <f t="shared" si="3"/>
        <v>April</v>
      </c>
    </row>
    <row r="100" spans="1:6" x14ac:dyDescent="0.2">
      <c r="A100" s="4">
        <v>38467.801192101382</v>
      </c>
      <c r="B100">
        <v>98</v>
      </c>
      <c r="C100" t="str">
        <f t="shared" si="2"/>
        <v>2005</v>
      </c>
      <c r="F100" t="str">
        <f t="shared" si="3"/>
        <v>April</v>
      </c>
    </row>
    <row r="101" spans="1:6" x14ac:dyDescent="0.2">
      <c r="A101" s="4">
        <v>38468.243602428724</v>
      </c>
      <c r="B101">
        <v>99</v>
      </c>
      <c r="C101" t="str">
        <f t="shared" si="2"/>
        <v>2005</v>
      </c>
      <c r="F101" t="str">
        <f t="shared" si="3"/>
        <v>April</v>
      </c>
    </row>
    <row r="102" spans="1:6" x14ac:dyDescent="0.2">
      <c r="A102" s="4">
        <v>38468.410224597807</v>
      </c>
      <c r="B102">
        <v>100</v>
      </c>
      <c r="C102" t="str">
        <f t="shared" si="2"/>
        <v>2005</v>
      </c>
      <c r="F102" t="str">
        <f t="shared" si="3"/>
        <v>April</v>
      </c>
    </row>
    <row r="103" spans="1:6" x14ac:dyDescent="0.2">
      <c r="A103" s="4">
        <v>38468.902975448953</v>
      </c>
      <c r="B103">
        <v>101</v>
      </c>
      <c r="C103" t="str">
        <f t="shared" si="2"/>
        <v>2005</v>
      </c>
      <c r="F103" t="str">
        <f t="shared" si="3"/>
        <v>April</v>
      </c>
    </row>
    <row r="104" spans="1:6" x14ac:dyDescent="0.2">
      <c r="A104" s="4">
        <v>38468.927348434685</v>
      </c>
      <c r="B104">
        <v>102</v>
      </c>
      <c r="C104" t="str">
        <f t="shared" si="2"/>
        <v>2005</v>
      </c>
      <c r="F104" t="str">
        <f t="shared" si="3"/>
        <v>April</v>
      </c>
    </row>
    <row r="105" spans="1:6" x14ac:dyDescent="0.2">
      <c r="A105" s="4">
        <v>38469.069535271912</v>
      </c>
      <c r="B105">
        <v>103</v>
      </c>
      <c r="C105" t="str">
        <f t="shared" si="2"/>
        <v>2005</v>
      </c>
      <c r="F105" t="str">
        <f t="shared" si="3"/>
        <v>April</v>
      </c>
    </row>
    <row r="106" spans="1:6" x14ac:dyDescent="0.2">
      <c r="A106" s="4">
        <v>38469.319980600965</v>
      </c>
      <c r="B106">
        <v>104</v>
      </c>
      <c r="C106" t="str">
        <f t="shared" si="2"/>
        <v>2005</v>
      </c>
      <c r="F106" t="str">
        <f t="shared" si="3"/>
        <v>April</v>
      </c>
    </row>
    <row r="107" spans="1:6" x14ac:dyDescent="0.2">
      <c r="A107" s="4">
        <v>38469.664696216343</v>
      </c>
      <c r="B107">
        <v>105</v>
      </c>
      <c r="C107" t="str">
        <f t="shared" si="2"/>
        <v>2005</v>
      </c>
      <c r="F107" t="str">
        <f t="shared" si="3"/>
        <v>April</v>
      </c>
    </row>
    <row r="108" spans="1:6" x14ac:dyDescent="0.2">
      <c r="A108" s="4">
        <v>38470.007420889895</v>
      </c>
      <c r="B108">
        <v>106</v>
      </c>
      <c r="C108" t="str">
        <f t="shared" si="2"/>
        <v>2005</v>
      </c>
      <c r="F108" t="str">
        <f t="shared" si="3"/>
        <v>April</v>
      </c>
    </row>
    <row r="109" spans="1:6" x14ac:dyDescent="0.2">
      <c r="A109" s="4">
        <v>38470.301361717342</v>
      </c>
      <c r="B109">
        <v>107</v>
      </c>
      <c r="C109" t="str">
        <f t="shared" si="2"/>
        <v>2005</v>
      </c>
      <c r="F109" t="str">
        <f t="shared" si="3"/>
        <v>April</v>
      </c>
    </row>
    <row r="110" spans="1:6" x14ac:dyDescent="0.2">
      <c r="A110" s="4">
        <v>38470.45182493695</v>
      </c>
      <c r="B110">
        <v>108</v>
      </c>
      <c r="C110" t="str">
        <f t="shared" si="2"/>
        <v>2005</v>
      </c>
      <c r="F110" t="str">
        <f t="shared" si="3"/>
        <v>April</v>
      </c>
    </row>
    <row r="111" spans="1:6" x14ac:dyDescent="0.2">
      <c r="A111" s="4">
        <v>38470.886619232791</v>
      </c>
      <c r="B111">
        <v>109</v>
      </c>
      <c r="C111" t="str">
        <f t="shared" si="2"/>
        <v>2005</v>
      </c>
      <c r="F111" t="str">
        <f t="shared" si="3"/>
        <v>April</v>
      </c>
    </row>
    <row r="112" spans="1:6" x14ac:dyDescent="0.2">
      <c r="A112" s="4">
        <v>38470.898064159257</v>
      </c>
      <c r="B112">
        <v>110</v>
      </c>
      <c r="C112" t="str">
        <f t="shared" si="2"/>
        <v>2005</v>
      </c>
      <c r="F112" t="str">
        <f t="shared" si="3"/>
        <v>April</v>
      </c>
    </row>
    <row r="113" spans="1:6" x14ac:dyDescent="0.2">
      <c r="A113" s="4">
        <v>38470.979298391117</v>
      </c>
      <c r="B113">
        <v>111</v>
      </c>
      <c r="C113" t="str">
        <f t="shared" si="2"/>
        <v>2005</v>
      </c>
      <c r="F113" t="str">
        <f t="shared" si="3"/>
        <v>April</v>
      </c>
    </row>
    <row r="114" spans="1:6" x14ac:dyDescent="0.2">
      <c r="A114" s="4">
        <v>38471.157995618254</v>
      </c>
      <c r="B114">
        <v>112</v>
      </c>
      <c r="C114" t="str">
        <f t="shared" si="2"/>
        <v>2005</v>
      </c>
      <c r="F114" t="str">
        <f t="shared" si="3"/>
        <v>April</v>
      </c>
    </row>
    <row r="115" spans="1:6" x14ac:dyDescent="0.2">
      <c r="A115" s="4">
        <v>38471.583454599044</v>
      </c>
      <c r="B115">
        <v>113</v>
      </c>
      <c r="C115" t="str">
        <f t="shared" si="2"/>
        <v>2005</v>
      </c>
      <c r="F115" t="str">
        <f t="shared" si="3"/>
        <v>April</v>
      </c>
    </row>
    <row r="116" spans="1:6" x14ac:dyDescent="0.2">
      <c r="A116" s="4">
        <v>38472.656696896353</v>
      </c>
      <c r="B116">
        <v>114</v>
      </c>
      <c r="C116" t="str">
        <f t="shared" si="2"/>
        <v>2005</v>
      </c>
      <c r="F116" t="str">
        <f t="shared" si="3"/>
        <v>April</v>
      </c>
    </row>
    <row r="117" spans="1:6" x14ac:dyDescent="0.2">
      <c r="A117" s="4">
        <v>38472.960188775833</v>
      </c>
      <c r="B117">
        <v>115</v>
      </c>
      <c r="C117" t="str">
        <f t="shared" si="2"/>
        <v>2005</v>
      </c>
      <c r="F117" t="str">
        <f t="shared" si="3"/>
        <v>April</v>
      </c>
    </row>
    <row r="118" spans="1:6" x14ac:dyDescent="0.2">
      <c r="A118" s="4">
        <v>38473.126848843436</v>
      </c>
      <c r="B118">
        <v>116</v>
      </c>
      <c r="C118" t="str">
        <f t="shared" si="2"/>
        <v>2005</v>
      </c>
      <c r="F118" t="str">
        <f t="shared" si="3"/>
        <v>May</v>
      </c>
    </row>
    <row r="119" spans="1:6" x14ac:dyDescent="0.2">
      <c r="A119" s="4">
        <v>38473.174839441039</v>
      </c>
      <c r="B119">
        <v>117</v>
      </c>
      <c r="C119" t="str">
        <f t="shared" si="2"/>
        <v>2005</v>
      </c>
      <c r="F119" t="str">
        <f t="shared" si="3"/>
        <v>May</v>
      </c>
    </row>
    <row r="120" spans="1:6" x14ac:dyDescent="0.2">
      <c r="A120" s="4">
        <v>38473.458289872578</v>
      </c>
      <c r="B120">
        <v>118</v>
      </c>
      <c r="C120" t="str">
        <f t="shared" si="2"/>
        <v>2005</v>
      </c>
      <c r="F120" t="str">
        <f t="shared" si="3"/>
        <v>May</v>
      </c>
    </row>
    <row r="121" spans="1:6" x14ac:dyDescent="0.2">
      <c r="A121" s="4">
        <v>38473.883420847807</v>
      </c>
      <c r="B121">
        <v>119</v>
      </c>
      <c r="C121" t="str">
        <f t="shared" si="2"/>
        <v>2005</v>
      </c>
      <c r="F121" t="str">
        <f t="shared" si="3"/>
        <v>May</v>
      </c>
    </row>
    <row r="122" spans="1:6" x14ac:dyDescent="0.2">
      <c r="A122" s="4">
        <v>38474.462034175325</v>
      </c>
      <c r="B122">
        <v>120</v>
      </c>
      <c r="C122" t="str">
        <f t="shared" si="2"/>
        <v>2005</v>
      </c>
      <c r="F122" t="str">
        <f t="shared" si="3"/>
        <v>May</v>
      </c>
    </row>
    <row r="123" spans="1:6" x14ac:dyDescent="0.2">
      <c r="A123" s="4">
        <v>38474.489130800088</v>
      </c>
      <c r="B123">
        <v>121</v>
      </c>
      <c r="C123" t="str">
        <f t="shared" si="2"/>
        <v>2005</v>
      </c>
      <c r="F123" t="str">
        <f t="shared" si="3"/>
        <v>May</v>
      </c>
    </row>
    <row r="124" spans="1:6" x14ac:dyDescent="0.2">
      <c r="A124" s="4">
        <v>38474.577624792859</v>
      </c>
      <c r="B124">
        <v>122</v>
      </c>
      <c r="C124" t="str">
        <f t="shared" si="2"/>
        <v>2005</v>
      </c>
      <c r="F124" t="str">
        <f t="shared" si="3"/>
        <v>May</v>
      </c>
    </row>
    <row r="125" spans="1:6" x14ac:dyDescent="0.2">
      <c r="A125" s="4">
        <v>38474.662930797254</v>
      </c>
      <c r="B125">
        <v>123</v>
      </c>
      <c r="C125" t="str">
        <f t="shared" si="2"/>
        <v>2005</v>
      </c>
      <c r="F125" t="str">
        <f t="shared" si="3"/>
        <v>May</v>
      </c>
    </row>
    <row r="126" spans="1:6" x14ac:dyDescent="0.2">
      <c r="A126" s="4">
        <v>38474.72661916275</v>
      </c>
      <c r="B126">
        <v>124</v>
      </c>
      <c r="C126" t="str">
        <f t="shared" si="2"/>
        <v>2005</v>
      </c>
      <c r="F126" t="str">
        <f t="shared" si="3"/>
        <v>May</v>
      </c>
    </row>
    <row r="127" spans="1:6" x14ac:dyDescent="0.2">
      <c r="A127" s="4">
        <v>38475.329713452709</v>
      </c>
      <c r="B127">
        <v>125</v>
      </c>
      <c r="C127" t="str">
        <f t="shared" si="2"/>
        <v>2005</v>
      </c>
      <c r="F127" t="str">
        <f t="shared" si="3"/>
        <v>May</v>
      </c>
    </row>
    <row r="128" spans="1:6" x14ac:dyDescent="0.2">
      <c r="A128" s="4">
        <v>38475.682866602416</v>
      </c>
      <c r="B128">
        <v>126</v>
      </c>
      <c r="C128" t="str">
        <f t="shared" si="2"/>
        <v>2005</v>
      </c>
      <c r="F128" t="str">
        <f t="shared" si="3"/>
        <v>May</v>
      </c>
    </row>
    <row r="129" spans="1:6" x14ac:dyDescent="0.2">
      <c r="A129" s="4">
        <v>38475.798490449939</v>
      </c>
      <c r="B129">
        <v>127</v>
      </c>
      <c r="C129" t="str">
        <f t="shared" si="2"/>
        <v>2005</v>
      </c>
      <c r="F129" t="str">
        <f t="shared" si="3"/>
        <v>May</v>
      </c>
    </row>
    <row r="130" spans="1:6" x14ac:dyDescent="0.2">
      <c r="A130" s="4">
        <v>38475.983660759259</v>
      </c>
      <c r="B130">
        <v>128</v>
      </c>
      <c r="C130" t="str">
        <f t="shared" si="2"/>
        <v>2005</v>
      </c>
      <c r="F130" t="str">
        <f t="shared" si="3"/>
        <v>May</v>
      </c>
    </row>
    <row r="131" spans="1:6" x14ac:dyDescent="0.2">
      <c r="A131" s="4">
        <v>38476.262206253079</v>
      </c>
      <c r="B131">
        <v>129</v>
      </c>
      <c r="C131" t="str">
        <f t="shared" si="2"/>
        <v>2005</v>
      </c>
      <c r="F131" t="str">
        <f t="shared" si="3"/>
        <v>May</v>
      </c>
    </row>
    <row r="132" spans="1:6" x14ac:dyDescent="0.2">
      <c r="A132" s="4">
        <v>38476.262434812968</v>
      </c>
      <c r="B132">
        <v>130</v>
      </c>
      <c r="C132" t="str">
        <f t="shared" ref="C132:C195" si="4">TEXT(A132,"YYY")</f>
        <v>2005</v>
      </c>
      <c r="F132" t="str">
        <f t="shared" ref="F132:F195" si="5">TEXT(A132,"MMMM")</f>
        <v>May</v>
      </c>
    </row>
    <row r="133" spans="1:6" x14ac:dyDescent="0.2">
      <c r="A133" s="4">
        <v>38476.497535675662</v>
      </c>
      <c r="B133">
        <v>131</v>
      </c>
      <c r="C133" t="str">
        <f t="shared" si="4"/>
        <v>2005</v>
      </c>
      <c r="F133" t="str">
        <f t="shared" si="5"/>
        <v>May</v>
      </c>
    </row>
    <row r="134" spans="1:6" x14ac:dyDescent="0.2">
      <c r="A134" s="4">
        <v>38476.722621370413</v>
      </c>
      <c r="B134">
        <v>132</v>
      </c>
      <c r="C134" t="str">
        <f t="shared" si="4"/>
        <v>2005</v>
      </c>
      <c r="F134" t="str">
        <f t="shared" si="5"/>
        <v>May</v>
      </c>
    </row>
    <row r="135" spans="1:6" x14ac:dyDescent="0.2">
      <c r="A135" s="4">
        <v>38477.259613677117</v>
      </c>
      <c r="B135">
        <v>133</v>
      </c>
      <c r="C135" t="str">
        <f t="shared" si="4"/>
        <v>2005</v>
      </c>
      <c r="F135" t="str">
        <f t="shared" si="5"/>
        <v>May</v>
      </c>
    </row>
    <row r="136" spans="1:6" x14ac:dyDescent="0.2">
      <c r="A136" s="4">
        <v>38477.318778297471</v>
      </c>
      <c r="B136">
        <v>134</v>
      </c>
      <c r="C136" t="str">
        <f t="shared" si="4"/>
        <v>2005</v>
      </c>
      <c r="F136" t="str">
        <f t="shared" si="5"/>
        <v>May</v>
      </c>
    </row>
    <row r="137" spans="1:6" x14ac:dyDescent="0.2">
      <c r="A137" s="4">
        <v>38477.597364538713</v>
      </c>
      <c r="B137">
        <v>135</v>
      </c>
      <c r="C137" t="str">
        <f t="shared" si="4"/>
        <v>2005</v>
      </c>
      <c r="F137" t="str">
        <f t="shared" si="5"/>
        <v>May</v>
      </c>
    </row>
    <row r="138" spans="1:6" x14ac:dyDescent="0.2">
      <c r="A138" s="4">
        <v>38477.757414536187</v>
      </c>
      <c r="B138">
        <v>136</v>
      </c>
      <c r="C138" t="str">
        <f t="shared" si="4"/>
        <v>2005</v>
      </c>
      <c r="F138" t="str">
        <f t="shared" si="5"/>
        <v>May</v>
      </c>
    </row>
    <row r="139" spans="1:6" x14ac:dyDescent="0.2">
      <c r="A139" s="4">
        <v>38477.857156912993</v>
      </c>
      <c r="B139">
        <v>137</v>
      </c>
      <c r="C139" t="str">
        <f t="shared" si="4"/>
        <v>2005</v>
      </c>
      <c r="F139" t="str">
        <f t="shared" si="5"/>
        <v>May</v>
      </c>
    </row>
    <row r="140" spans="1:6" x14ac:dyDescent="0.2">
      <c r="A140" s="4">
        <v>38478.260484089384</v>
      </c>
      <c r="B140">
        <v>138</v>
      </c>
      <c r="C140" t="str">
        <f t="shared" si="4"/>
        <v>2005</v>
      </c>
      <c r="F140" t="str">
        <f t="shared" si="5"/>
        <v>May</v>
      </c>
    </row>
    <row r="141" spans="1:6" x14ac:dyDescent="0.2">
      <c r="A141" s="4">
        <v>38478.279575326887</v>
      </c>
      <c r="B141">
        <v>139</v>
      </c>
      <c r="C141" t="str">
        <f t="shared" si="4"/>
        <v>2005</v>
      </c>
      <c r="F141" t="str">
        <f t="shared" si="5"/>
        <v>May</v>
      </c>
    </row>
    <row r="142" spans="1:6" x14ac:dyDescent="0.2">
      <c r="A142" s="4">
        <v>38478.967854057104</v>
      </c>
      <c r="B142">
        <v>140</v>
      </c>
      <c r="C142" t="str">
        <f t="shared" si="4"/>
        <v>2005</v>
      </c>
      <c r="F142" t="str">
        <f t="shared" si="5"/>
        <v>May</v>
      </c>
    </row>
    <row r="143" spans="1:6" x14ac:dyDescent="0.2">
      <c r="A143" s="4">
        <v>38479.478873188535</v>
      </c>
      <c r="B143">
        <v>141</v>
      </c>
      <c r="C143" t="str">
        <f t="shared" si="4"/>
        <v>2005</v>
      </c>
      <c r="F143" t="str">
        <f t="shared" si="5"/>
        <v>May</v>
      </c>
    </row>
    <row r="144" spans="1:6" x14ac:dyDescent="0.2">
      <c r="A144" s="4">
        <v>38480.396278820219</v>
      </c>
      <c r="B144">
        <v>142</v>
      </c>
      <c r="C144" t="str">
        <f t="shared" si="4"/>
        <v>2005</v>
      </c>
      <c r="F144" t="str">
        <f t="shared" si="5"/>
        <v>May</v>
      </c>
    </row>
    <row r="145" spans="1:6" x14ac:dyDescent="0.2">
      <c r="A145" s="4">
        <v>38480.487740850192</v>
      </c>
      <c r="B145">
        <v>143</v>
      </c>
      <c r="C145" t="str">
        <f t="shared" si="4"/>
        <v>2005</v>
      </c>
      <c r="F145" t="str">
        <f t="shared" si="5"/>
        <v>May</v>
      </c>
    </row>
    <row r="146" spans="1:6" x14ac:dyDescent="0.2">
      <c r="A146" s="4">
        <v>38480.543916573995</v>
      </c>
      <c r="B146">
        <v>144</v>
      </c>
      <c r="C146" t="str">
        <f t="shared" si="4"/>
        <v>2005</v>
      </c>
      <c r="F146" t="str">
        <f t="shared" si="5"/>
        <v>May</v>
      </c>
    </row>
    <row r="147" spans="1:6" x14ac:dyDescent="0.2">
      <c r="A147" s="4">
        <v>38480.605557013405</v>
      </c>
      <c r="B147">
        <v>145</v>
      </c>
      <c r="C147" t="str">
        <f t="shared" si="4"/>
        <v>2005</v>
      </c>
      <c r="F147" t="str">
        <f t="shared" si="5"/>
        <v>May</v>
      </c>
    </row>
    <row r="148" spans="1:6" x14ac:dyDescent="0.2">
      <c r="A148" s="4">
        <v>38480.624153423669</v>
      </c>
      <c r="B148">
        <v>146</v>
      </c>
      <c r="C148" t="str">
        <f t="shared" si="4"/>
        <v>2005</v>
      </c>
      <c r="F148" t="str">
        <f t="shared" si="5"/>
        <v>May</v>
      </c>
    </row>
    <row r="149" spans="1:6" x14ac:dyDescent="0.2">
      <c r="A149" s="4">
        <v>38480.761509026626</v>
      </c>
      <c r="B149">
        <v>147</v>
      </c>
      <c r="C149" t="str">
        <f t="shared" si="4"/>
        <v>2005</v>
      </c>
      <c r="F149" t="str">
        <f t="shared" si="5"/>
        <v>May</v>
      </c>
    </row>
    <row r="150" spans="1:6" x14ac:dyDescent="0.2">
      <c r="A150" s="4">
        <v>38480.888645703089</v>
      </c>
      <c r="B150">
        <v>148</v>
      </c>
      <c r="C150" t="str">
        <f t="shared" si="4"/>
        <v>2005</v>
      </c>
      <c r="F150" t="str">
        <f t="shared" si="5"/>
        <v>May</v>
      </c>
    </row>
    <row r="151" spans="1:6" x14ac:dyDescent="0.2">
      <c r="A151" s="4">
        <v>38481.040469011852</v>
      </c>
      <c r="B151">
        <v>149</v>
      </c>
      <c r="C151" t="str">
        <f t="shared" si="4"/>
        <v>2005</v>
      </c>
      <c r="F151" t="str">
        <f t="shared" si="5"/>
        <v>May</v>
      </c>
    </row>
    <row r="152" spans="1:6" x14ac:dyDescent="0.2">
      <c r="A152" s="4">
        <v>38481.218484856006</v>
      </c>
      <c r="B152">
        <v>150</v>
      </c>
      <c r="C152" t="str">
        <f t="shared" si="4"/>
        <v>2005</v>
      </c>
      <c r="F152" t="str">
        <f t="shared" si="5"/>
        <v>May</v>
      </c>
    </row>
    <row r="153" spans="1:6" x14ac:dyDescent="0.2">
      <c r="A153" s="4">
        <v>38481.361467594092</v>
      </c>
      <c r="B153">
        <v>151</v>
      </c>
      <c r="C153" t="str">
        <f t="shared" si="4"/>
        <v>2005</v>
      </c>
      <c r="F153" t="str">
        <f t="shared" si="5"/>
        <v>May</v>
      </c>
    </row>
    <row r="154" spans="1:6" x14ac:dyDescent="0.2">
      <c r="A154" s="4">
        <v>38481.896485581769</v>
      </c>
      <c r="B154">
        <v>152</v>
      </c>
      <c r="C154" t="str">
        <f t="shared" si="4"/>
        <v>2005</v>
      </c>
      <c r="F154" t="str">
        <f t="shared" si="5"/>
        <v>May</v>
      </c>
    </row>
    <row r="155" spans="1:6" x14ac:dyDescent="0.2">
      <c r="A155" s="4">
        <v>38482.165969635884</v>
      </c>
      <c r="B155">
        <v>153</v>
      </c>
      <c r="C155" t="str">
        <f t="shared" si="4"/>
        <v>2005</v>
      </c>
      <c r="F155" t="str">
        <f t="shared" si="5"/>
        <v>May</v>
      </c>
    </row>
    <row r="156" spans="1:6" x14ac:dyDescent="0.2">
      <c r="A156" s="4">
        <v>38482.401739053319</v>
      </c>
      <c r="B156">
        <v>154</v>
      </c>
      <c r="C156" t="str">
        <f t="shared" si="4"/>
        <v>2005</v>
      </c>
      <c r="F156" t="str">
        <f t="shared" si="5"/>
        <v>May</v>
      </c>
    </row>
    <row r="157" spans="1:6" x14ac:dyDescent="0.2">
      <c r="A157" s="4">
        <v>38482.844881140394</v>
      </c>
      <c r="B157">
        <v>155</v>
      </c>
      <c r="C157" t="str">
        <f t="shared" si="4"/>
        <v>2005</v>
      </c>
      <c r="F157" t="str">
        <f t="shared" si="5"/>
        <v>May</v>
      </c>
    </row>
    <row r="158" spans="1:6" x14ac:dyDescent="0.2">
      <c r="A158" s="4">
        <v>38483.018804945699</v>
      </c>
      <c r="B158">
        <v>156</v>
      </c>
      <c r="C158" t="str">
        <f t="shared" si="4"/>
        <v>2005</v>
      </c>
      <c r="F158" t="str">
        <f t="shared" si="5"/>
        <v>May</v>
      </c>
    </row>
    <row r="159" spans="1:6" x14ac:dyDescent="0.2">
      <c r="A159" s="4">
        <v>38483.566367878469</v>
      </c>
      <c r="B159">
        <v>157</v>
      </c>
      <c r="C159" t="str">
        <f t="shared" si="4"/>
        <v>2005</v>
      </c>
      <c r="F159" t="str">
        <f t="shared" si="5"/>
        <v>May</v>
      </c>
    </row>
    <row r="160" spans="1:6" x14ac:dyDescent="0.2">
      <c r="A160" s="4">
        <v>38483.837588033777</v>
      </c>
      <c r="B160">
        <v>158</v>
      </c>
      <c r="C160" t="str">
        <f t="shared" si="4"/>
        <v>2005</v>
      </c>
      <c r="F160" t="str">
        <f t="shared" si="5"/>
        <v>May</v>
      </c>
    </row>
    <row r="161" spans="1:6" x14ac:dyDescent="0.2">
      <c r="A161" s="4">
        <v>38483.991238050345</v>
      </c>
      <c r="B161">
        <v>159</v>
      </c>
      <c r="C161" t="str">
        <f t="shared" si="4"/>
        <v>2005</v>
      </c>
      <c r="F161" t="str">
        <f t="shared" si="5"/>
        <v>May</v>
      </c>
    </row>
    <row r="162" spans="1:6" x14ac:dyDescent="0.2">
      <c r="A162" s="4">
        <v>38484.512074015365</v>
      </c>
      <c r="B162">
        <v>160</v>
      </c>
      <c r="C162" t="str">
        <f t="shared" si="4"/>
        <v>2005</v>
      </c>
      <c r="F162" t="str">
        <f t="shared" si="5"/>
        <v>May</v>
      </c>
    </row>
    <row r="163" spans="1:6" x14ac:dyDescent="0.2">
      <c r="A163" s="4">
        <v>38485.253092596511</v>
      </c>
      <c r="B163">
        <v>161</v>
      </c>
      <c r="C163" t="str">
        <f t="shared" si="4"/>
        <v>2005</v>
      </c>
      <c r="F163" t="str">
        <f t="shared" si="5"/>
        <v>May</v>
      </c>
    </row>
    <row r="164" spans="1:6" x14ac:dyDescent="0.2">
      <c r="A164" s="4">
        <v>38485.406927400159</v>
      </c>
      <c r="B164">
        <v>162</v>
      </c>
      <c r="C164" t="str">
        <f t="shared" si="4"/>
        <v>2005</v>
      </c>
      <c r="F164" t="str">
        <f t="shared" si="5"/>
        <v>May</v>
      </c>
    </row>
    <row r="165" spans="1:6" x14ac:dyDescent="0.2">
      <c r="A165" s="4">
        <v>38485.761781515961</v>
      </c>
      <c r="B165">
        <v>163</v>
      </c>
      <c r="C165" t="str">
        <f t="shared" si="4"/>
        <v>2005</v>
      </c>
      <c r="F165" t="str">
        <f t="shared" si="5"/>
        <v>May</v>
      </c>
    </row>
    <row r="166" spans="1:6" x14ac:dyDescent="0.2">
      <c r="A166" s="4">
        <v>38486.483795647706</v>
      </c>
      <c r="B166">
        <v>164</v>
      </c>
      <c r="C166" t="str">
        <f t="shared" si="4"/>
        <v>2005</v>
      </c>
      <c r="F166" t="str">
        <f t="shared" si="5"/>
        <v>May</v>
      </c>
    </row>
    <row r="167" spans="1:6" x14ac:dyDescent="0.2">
      <c r="A167" s="4">
        <v>38486.667409734633</v>
      </c>
      <c r="B167">
        <v>165</v>
      </c>
      <c r="C167" t="str">
        <f t="shared" si="4"/>
        <v>2005</v>
      </c>
      <c r="F167" t="str">
        <f t="shared" si="5"/>
        <v>May</v>
      </c>
    </row>
    <row r="168" spans="1:6" x14ac:dyDescent="0.2">
      <c r="A168" s="4">
        <v>38487.402026380434</v>
      </c>
      <c r="B168">
        <v>166</v>
      </c>
      <c r="C168" t="str">
        <f t="shared" si="4"/>
        <v>2005</v>
      </c>
      <c r="F168" t="str">
        <f t="shared" si="5"/>
        <v>May</v>
      </c>
    </row>
    <row r="169" spans="1:6" x14ac:dyDescent="0.2">
      <c r="A169" s="4">
        <v>38487.806489773953</v>
      </c>
      <c r="B169">
        <v>167</v>
      </c>
      <c r="C169" t="str">
        <f t="shared" si="4"/>
        <v>2005</v>
      </c>
      <c r="F169" t="str">
        <f t="shared" si="5"/>
        <v>May</v>
      </c>
    </row>
    <row r="170" spans="1:6" x14ac:dyDescent="0.2">
      <c r="A170" s="4">
        <v>38487.963576598217</v>
      </c>
      <c r="B170">
        <v>168</v>
      </c>
      <c r="C170" t="str">
        <f t="shared" si="4"/>
        <v>2005</v>
      </c>
      <c r="F170" t="str">
        <f t="shared" si="5"/>
        <v>May</v>
      </c>
    </row>
    <row r="171" spans="1:6" x14ac:dyDescent="0.2">
      <c r="A171" s="4">
        <v>38488.087763839329</v>
      </c>
      <c r="B171">
        <v>169</v>
      </c>
      <c r="C171" t="str">
        <f t="shared" si="4"/>
        <v>2005</v>
      </c>
      <c r="F171" t="str">
        <f t="shared" si="5"/>
        <v>May</v>
      </c>
    </row>
    <row r="172" spans="1:6" x14ac:dyDescent="0.2">
      <c r="A172" s="4">
        <v>38488.201433877191</v>
      </c>
      <c r="B172">
        <v>170</v>
      </c>
      <c r="C172" t="str">
        <f t="shared" si="4"/>
        <v>2005</v>
      </c>
      <c r="F172" t="str">
        <f t="shared" si="5"/>
        <v>May</v>
      </c>
    </row>
    <row r="173" spans="1:6" x14ac:dyDescent="0.2">
      <c r="A173" s="4">
        <v>38488.360332141267</v>
      </c>
      <c r="B173">
        <v>171</v>
      </c>
      <c r="C173" t="str">
        <f t="shared" si="4"/>
        <v>2005</v>
      </c>
      <c r="F173" t="str">
        <f t="shared" si="5"/>
        <v>May</v>
      </c>
    </row>
    <row r="174" spans="1:6" x14ac:dyDescent="0.2">
      <c r="A174" s="4">
        <v>38489.026619189033</v>
      </c>
      <c r="B174">
        <v>172</v>
      </c>
      <c r="C174" t="str">
        <f t="shared" si="4"/>
        <v>2005</v>
      </c>
      <c r="F174" t="str">
        <f t="shared" si="5"/>
        <v>May</v>
      </c>
    </row>
    <row r="175" spans="1:6" x14ac:dyDescent="0.2">
      <c r="A175" s="4">
        <v>38489.035713090394</v>
      </c>
      <c r="B175">
        <v>173</v>
      </c>
      <c r="C175" t="str">
        <f t="shared" si="4"/>
        <v>2005</v>
      </c>
      <c r="F175" t="str">
        <f t="shared" si="5"/>
        <v>May</v>
      </c>
    </row>
    <row r="176" spans="1:6" x14ac:dyDescent="0.2">
      <c r="A176" s="4">
        <v>38489.075914604022</v>
      </c>
      <c r="B176">
        <v>174</v>
      </c>
      <c r="C176" t="str">
        <f t="shared" si="4"/>
        <v>2005</v>
      </c>
      <c r="F176" t="str">
        <f t="shared" si="5"/>
        <v>May</v>
      </c>
    </row>
    <row r="177" spans="1:6" x14ac:dyDescent="0.2">
      <c r="A177" s="4">
        <v>38489.117222457651</v>
      </c>
      <c r="B177">
        <v>175</v>
      </c>
      <c r="C177" t="str">
        <f t="shared" si="4"/>
        <v>2005</v>
      </c>
      <c r="F177" t="str">
        <f t="shared" si="5"/>
        <v>May</v>
      </c>
    </row>
    <row r="178" spans="1:6" x14ac:dyDescent="0.2">
      <c r="A178" s="4">
        <v>38489.427218937948</v>
      </c>
      <c r="B178">
        <v>176</v>
      </c>
      <c r="C178" t="str">
        <f t="shared" si="4"/>
        <v>2005</v>
      </c>
      <c r="F178" t="str">
        <f t="shared" si="5"/>
        <v>May</v>
      </c>
    </row>
    <row r="179" spans="1:6" x14ac:dyDescent="0.2">
      <c r="A179" s="4">
        <v>38489.548997706501</v>
      </c>
      <c r="B179">
        <v>177</v>
      </c>
      <c r="C179" t="str">
        <f t="shared" si="4"/>
        <v>2005</v>
      </c>
      <c r="F179" t="str">
        <f t="shared" si="5"/>
        <v>May</v>
      </c>
    </row>
    <row r="180" spans="1:6" x14ac:dyDescent="0.2">
      <c r="A180" s="4">
        <v>38489.633348071322</v>
      </c>
      <c r="B180">
        <v>178</v>
      </c>
      <c r="C180" t="str">
        <f t="shared" si="4"/>
        <v>2005</v>
      </c>
      <c r="F180" t="str">
        <f t="shared" si="5"/>
        <v>May</v>
      </c>
    </row>
    <row r="181" spans="1:6" x14ac:dyDescent="0.2">
      <c r="A181" s="4">
        <v>38490.535499195081</v>
      </c>
      <c r="B181">
        <v>179</v>
      </c>
      <c r="C181" t="str">
        <f t="shared" si="4"/>
        <v>2005</v>
      </c>
      <c r="F181" t="str">
        <f t="shared" si="5"/>
        <v>May</v>
      </c>
    </row>
    <row r="182" spans="1:6" x14ac:dyDescent="0.2">
      <c r="A182" s="4">
        <v>38490.760700159321</v>
      </c>
      <c r="B182">
        <v>180</v>
      </c>
      <c r="C182" t="str">
        <f t="shared" si="4"/>
        <v>2005</v>
      </c>
      <c r="F182" t="str">
        <f t="shared" si="5"/>
        <v>May</v>
      </c>
    </row>
    <row r="183" spans="1:6" x14ac:dyDescent="0.2">
      <c r="A183" s="4">
        <v>38490.812762553898</v>
      </c>
      <c r="B183">
        <v>181</v>
      </c>
      <c r="C183" t="str">
        <f t="shared" si="4"/>
        <v>2005</v>
      </c>
      <c r="F183" t="str">
        <f t="shared" si="5"/>
        <v>May</v>
      </c>
    </row>
    <row r="184" spans="1:6" x14ac:dyDescent="0.2">
      <c r="A184" s="4">
        <v>38491.028407450249</v>
      </c>
      <c r="B184">
        <v>182</v>
      </c>
      <c r="C184" t="str">
        <f t="shared" si="4"/>
        <v>2005</v>
      </c>
      <c r="F184" t="str">
        <f t="shared" si="5"/>
        <v>May</v>
      </c>
    </row>
    <row r="185" spans="1:6" x14ac:dyDescent="0.2">
      <c r="A185" s="4">
        <v>38491.454904180093</v>
      </c>
      <c r="B185">
        <v>183</v>
      </c>
      <c r="C185" t="str">
        <f t="shared" si="4"/>
        <v>2005</v>
      </c>
      <c r="F185" t="str">
        <f t="shared" si="5"/>
        <v>May</v>
      </c>
    </row>
    <row r="186" spans="1:6" x14ac:dyDescent="0.2">
      <c r="A186" s="4">
        <v>38491.883930444623</v>
      </c>
      <c r="B186">
        <v>184</v>
      </c>
      <c r="C186" t="str">
        <f t="shared" si="4"/>
        <v>2005</v>
      </c>
      <c r="F186" t="str">
        <f t="shared" si="5"/>
        <v>May</v>
      </c>
    </row>
    <row r="187" spans="1:6" x14ac:dyDescent="0.2">
      <c r="A187" s="4">
        <v>38491.981922424355</v>
      </c>
      <c r="B187">
        <v>185</v>
      </c>
      <c r="C187" t="str">
        <f t="shared" si="4"/>
        <v>2005</v>
      </c>
      <c r="F187" t="str">
        <f t="shared" si="5"/>
        <v>May</v>
      </c>
    </row>
    <row r="188" spans="1:6" x14ac:dyDescent="0.2">
      <c r="A188" s="4">
        <v>38492.036094885443</v>
      </c>
      <c r="B188">
        <v>186</v>
      </c>
      <c r="C188" t="str">
        <f t="shared" si="4"/>
        <v>2005</v>
      </c>
      <c r="F188" t="str">
        <f t="shared" si="5"/>
        <v>May</v>
      </c>
    </row>
    <row r="189" spans="1:6" x14ac:dyDescent="0.2">
      <c r="A189" s="4">
        <v>38492.134086842547</v>
      </c>
      <c r="B189">
        <v>187</v>
      </c>
      <c r="C189" t="str">
        <f t="shared" si="4"/>
        <v>2005</v>
      </c>
      <c r="F189" t="str">
        <f t="shared" si="5"/>
        <v>May</v>
      </c>
    </row>
    <row r="190" spans="1:6" x14ac:dyDescent="0.2">
      <c r="A190" s="4">
        <v>38492.521981829115</v>
      </c>
      <c r="B190">
        <v>188</v>
      </c>
      <c r="C190" t="str">
        <f t="shared" si="4"/>
        <v>2005</v>
      </c>
      <c r="F190" t="str">
        <f t="shared" si="5"/>
        <v>May</v>
      </c>
    </row>
    <row r="191" spans="1:6" x14ac:dyDescent="0.2">
      <c r="A191" s="4">
        <v>38493.449819933288</v>
      </c>
      <c r="B191">
        <v>189</v>
      </c>
      <c r="C191" t="str">
        <f t="shared" si="4"/>
        <v>2005</v>
      </c>
      <c r="F191" t="str">
        <f t="shared" si="5"/>
        <v>May</v>
      </c>
    </row>
    <row r="192" spans="1:6" x14ac:dyDescent="0.2">
      <c r="A192" s="4">
        <v>38493.805518502711</v>
      </c>
      <c r="B192">
        <v>190</v>
      </c>
      <c r="C192" t="str">
        <f t="shared" si="4"/>
        <v>2005</v>
      </c>
      <c r="F192" t="str">
        <f t="shared" si="5"/>
        <v>May</v>
      </c>
    </row>
    <row r="193" spans="1:6" x14ac:dyDescent="0.2">
      <c r="A193" s="4">
        <v>38493.843400308841</v>
      </c>
      <c r="B193">
        <v>191</v>
      </c>
      <c r="C193" t="str">
        <f t="shared" si="4"/>
        <v>2005</v>
      </c>
      <c r="F193" t="str">
        <f t="shared" si="5"/>
        <v>May</v>
      </c>
    </row>
    <row r="194" spans="1:6" x14ac:dyDescent="0.2">
      <c r="A194" s="4">
        <v>38493.917800438605</v>
      </c>
      <c r="B194">
        <v>192</v>
      </c>
      <c r="C194" t="str">
        <f t="shared" si="4"/>
        <v>2005</v>
      </c>
      <c r="F194" t="str">
        <f t="shared" si="5"/>
        <v>May</v>
      </c>
    </row>
    <row r="195" spans="1:6" x14ac:dyDescent="0.2">
      <c r="A195" s="4">
        <v>38494.674012750016</v>
      </c>
      <c r="B195">
        <v>193</v>
      </c>
      <c r="C195" t="str">
        <f t="shared" si="4"/>
        <v>2005</v>
      </c>
      <c r="F195" t="str">
        <f t="shared" si="5"/>
        <v>May</v>
      </c>
    </row>
    <row r="196" spans="1:6" x14ac:dyDescent="0.2">
      <c r="A196" s="4">
        <v>38494.851719791695</v>
      </c>
      <c r="B196">
        <v>194</v>
      </c>
      <c r="C196" t="str">
        <f t="shared" ref="C196:C259" si="6">TEXT(A196,"YYY")</f>
        <v>2005</v>
      </c>
      <c r="F196" t="str">
        <f t="shared" ref="F196:F259" si="7">TEXT(A196,"MMMM")</f>
        <v>May</v>
      </c>
    </row>
    <row r="197" spans="1:6" x14ac:dyDescent="0.2">
      <c r="A197" s="4">
        <v>38495.14821551511</v>
      </c>
      <c r="B197">
        <v>195</v>
      </c>
      <c r="C197" t="str">
        <f t="shared" si="6"/>
        <v>2005</v>
      </c>
      <c r="F197" t="str">
        <f t="shared" si="7"/>
        <v>May</v>
      </c>
    </row>
    <row r="198" spans="1:6" x14ac:dyDescent="0.2">
      <c r="A198" s="4">
        <v>38495.391818097865</v>
      </c>
      <c r="B198">
        <v>196</v>
      </c>
      <c r="C198" t="str">
        <f t="shared" si="6"/>
        <v>2005</v>
      </c>
      <c r="F198" t="str">
        <f t="shared" si="7"/>
        <v>May</v>
      </c>
    </row>
    <row r="199" spans="1:6" x14ac:dyDescent="0.2">
      <c r="A199" s="4">
        <v>38496.547692689717</v>
      </c>
      <c r="B199">
        <v>197</v>
      </c>
      <c r="C199" t="str">
        <f t="shared" si="6"/>
        <v>2005</v>
      </c>
      <c r="F199" t="str">
        <f t="shared" si="7"/>
        <v>May</v>
      </c>
    </row>
    <row r="200" spans="1:6" x14ac:dyDescent="0.2">
      <c r="A200" s="4">
        <v>38496.64478718835</v>
      </c>
      <c r="B200">
        <v>198</v>
      </c>
      <c r="C200" t="str">
        <f t="shared" si="6"/>
        <v>2005</v>
      </c>
      <c r="F200" t="str">
        <f t="shared" si="7"/>
        <v>May</v>
      </c>
    </row>
    <row r="201" spans="1:6" x14ac:dyDescent="0.2">
      <c r="A201" s="4">
        <v>38496.79021225535</v>
      </c>
      <c r="B201">
        <v>199</v>
      </c>
      <c r="C201" t="str">
        <f t="shared" si="6"/>
        <v>2005</v>
      </c>
      <c r="F201" t="str">
        <f t="shared" si="7"/>
        <v>May</v>
      </c>
    </row>
    <row r="202" spans="1:6" x14ac:dyDescent="0.2">
      <c r="A202" s="4">
        <v>38496.888849075796</v>
      </c>
      <c r="B202">
        <v>200</v>
      </c>
      <c r="C202" t="str">
        <f t="shared" si="6"/>
        <v>2005</v>
      </c>
      <c r="F202" t="str">
        <f t="shared" si="7"/>
        <v>May</v>
      </c>
    </row>
    <row r="203" spans="1:6" x14ac:dyDescent="0.2">
      <c r="A203" s="4">
        <v>38496.938018237124</v>
      </c>
      <c r="B203">
        <v>201</v>
      </c>
      <c r="C203" t="str">
        <f t="shared" si="6"/>
        <v>2005</v>
      </c>
      <c r="F203" t="str">
        <f t="shared" si="7"/>
        <v>May</v>
      </c>
    </row>
    <row r="204" spans="1:6" x14ac:dyDescent="0.2">
      <c r="A204" s="4">
        <v>38497.045827023547</v>
      </c>
      <c r="B204">
        <v>202</v>
      </c>
      <c r="C204" t="str">
        <f t="shared" si="6"/>
        <v>2005</v>
      </c>
      <c r="F204" t="str">
        <f t="shared" si="7"/>
        <v>May</v>
      </c>
    </row>
    <row r="205" spans="1:6" x14ac:dyDescent="0.2">
      <c r="A205" s="4">
        <v>38497.276219242434</v>
      </c>
      <c r="B205">
        <v>203</v>
      </c>
      <c r="C205" t="str">
        <f t="shared" si="6"/>
        <v>2005</v>
      </c>
      <c r="F205" t="str">
        <f t="shared" si="7"/>
        <v>May</v>
      </c>
    </row>
    <row r="206" spans="1:6" x14ac:dyDescent="0.2">
      <c r="A206" s="4">
        <v>38497.305965282452</v>
      </c>
      <c r="B206">
        <v>204</v>
      </c>
      <c r="C206" t="str">
        <f t="shared" si="6"/>
        <v>2005</v>
      </c>
      <c r="F206" t="str">
        <f t="shared" si="7"/>
        <v>May</v>
      </c>
    </row>
    <row r="207" spans="1:6" x14ac:dyDescent="0.2">
      <c r="A207" s="4">
        <v>38497.326676142555</v>
      </c>
      <c r="B207">
        <v>205</v>
      </c>
      <c r="C207" t="str">
        <f t="shared" si="6"/>
        <v>2005</v>
      </c>
      <c r="F207" t="str">
        <f t="shared" si="7"/>
        <v>May</v>
      </c>
    </row>
    <row r="208" spans="1:6" x14ac:dyDescent="0.2">
      <c r="A208" s="4">
        <v>38497.358318025108</v>
      </c>
      <c r="B208">
        <v>206</v>
      </c>
      <c r="C208" t="str">
        <f t="shared" si="6"/>
        <v>2005</v>
      </c>
      <c r="F208" t="str">
        <f t="shared" si="7"/>
        <v>May</v>
      </c>
    </row>
    <row r="209" spans="1:6" x14ac:dyDescent="0.2">
      <c r="A209" s="4">
        <v>38497.47777404228</v>
      </c>
      <c r="B209">
        <v>207</v>
      </c>
      <c r="C209" t="str">
        <f t="shared" si="6"/>
        <v>2005</v>
      </c>
      <c r="F209" t="str">
        <f t="shared" si="7"/>
        <v>May</v>
      </c>
    </row>
    <row r="210" spans="1:6" x14ac:dyDescent="0.2">
      <c r="A210" s="4">
        <v>38498.200421790229</v>
      </c>
      <c r="B210">
        <v>208</v>
      </c>
      <c r="C210" t="str">
        <f t="shared" si="6"/>
        <v>2005</v>
      </c>
      <c r="F210" t="str">
        <f t="shared" si="7"/>
        <v>May</v>
      </c>
    </row>
    <row r="211" spans="1:6" x14ac:dyDescent="0.2">
      <c r="A211" s="4">
        <v>38498.584276927933</v>
      </c>
      <c r="B211">
        <v>209</v>
      </c>
      <c r="C211" t="str">
        <f t="shared" si="6"/>
        <v>2005</v>
      </c>
      <c r="F211" t="str">
        <f t="shared" si="7"/>
        <v>May</v>
      </c>
    </row>
    <row r="212" spans="1:6" x14ac:dyDescent="0.2">
      <c r="A212" s="4">
        <v>38498.715392262464</v>
      </c>
      <c r="B212">
        <v>210</v>
      </c>
      <c r="C212" t="str">
        <f t="shared" si="6"/>
        <v>2005</v>
      </c>
      <c r="F212" t="str">
        <f t="shared" si="7"/>
        <v>May</v>
      </c>
    </row>
    <row r="213" spans="1:6" x14ac:dyDescent="0.2">
      <c r="A213" s="4">
        <v>38498.760813206914</v>
      </c>
      <c r="B213">
        <v>211</v>
      </c>
      <c r="C213" t="str">
        <f t="shared" si="6"/>
        <v>2005</v>
      </c>
      <c r="F213" t="str">
        <f t="shared" si="7"/>
        <v>May</v>
      </c>
    </row>
    <row r="214" spans="1:6" x14ac:dyDescent="0.2">
      <c r="A214" s="4">
        <v>38498.800601855546</v>
      </c>
      <c r="B214">
        <v>212</v>
      </c>
      <c r="C214" t="str">
        <f t="shared" si="6"/>
        <v>2005</v>
      </c>
      <c r="F214" t="str">
        <f t="shared" si="7"/>
        <v>May</v>
      </c>
    </row>
    <row r="215" spans="1:6" x14ac:dyDescent="0.2">
      <c r="A215" s="4">
        <v>38499.125785491044</v>
      </c>
      <c r="B215">
        <v>213</v>
      </c>
      <c r="C215" t="str">
        <f t="shared" si="6"/>
        <v>2005</v>
      </c>
      <c r="F215" t="str">
        <f t="shared" si="7"/>
        <v>May</v>
      </c>
    </row>
    <row r="216" spans="1:6" x14ac:dyDescent="0.2">
      <c r="A216" s="4">
        <v>38499.589934628842</v>
      </c>
      <c r="B216">
        <v>214</v>
      </c>
      <c r="C216" t="str">
        <f t="shared" si="6"/>
        <v>2005</v>
      </c>
      <c r="F216" t="str">
        <f t="shared" si="7"/>
        <v>May</v>
      </c>
    </row>
    <row r="217" spans="1:6" x14ac:dyDescent="0.2">
      <c r="A217" s="4">
        <v>38500.926577331644</v>
      </c>
      <c r="B217">
        <v>215</v>
      </c>
      <c r="C217" t="str">
        <f t="shared" si="6"/>
        <v>2005</v>
      </c>
      <c r="F217" t="str">
        <f t="shared" si="7"/>
        <v>May</v>
      </c>
    </row>
    <row r="218" spans="1:6" x14ac:dyDescent="0.2">
      <c r="A218" s="4">
        <v>38501.335737105554</v>
      </c>
      <c r="B218">
        <v>216</v>
      </c>
      <c r="C218" t="str">
        <f t="shared" si="6"/>
        <v>2005</v>
      </c>
      <c r="F218" t="str">
        <f t="shared" si="7"/>
        <v>May</v>
      </c>
    </row>
    <row r="219" spans="1:6" x14ac:dyDescent="0.2">
      <c r="A219" s="4">
        <v>38501.347451887261</v>
      </c>
      <c r="B219">
        <v>217</v>
      </c>
      <c r="C219" t="str">
        <f t="shared" si="6"/>
        <v>2005</v>
      </c>
      <c r="F219" t="str">
        <f t="shared" si="7"/>
        <v>May</v>
      </c>
    </row>
    <row r="220" spans="1:6" x14ac:dyDescent="0.2">
      <c r="A220" s="4">
        <v>38501.490702923089</v>
      </c>
      <c r="B220">
        <v>218</v>
      </c>
      <c r="C220" t="str">
        <f t="shared" si="6"/>
        <v>2005</v>
      </c>
      <c r="F220" t="str">
        <f t="shared" si="7"/>
        <v>May</v>
      </c>
    </row>
    <row r="221" spans="1:6" x14ac:dyDescent="0.2">
      <c r="A221" s="4">
        <v>38501.869321122882</v>
      </c>
      <c r="B221">
        <v>219</v>
      </c>
      <c r="C221" t="str">
        <f t="shared" si="6"/>
        <v>2005</v>
      </c>
      <c r="F221" t="str">
        <f t="shared" si="7"/>
        <v>May</v>
      </c>
    </row>
    <row r="222" spans="1:6" x14ac:dyDescent="0.2">
      <c r="A222" s="4">
        <v>38502.27775977274</v>
      </c>
      <c r="B222">
        <v>220</v>
      </c>
      <c r="C222" t="str">
        <f t="shared" si="6"/>
        <v>2005</v>
      </c>
      <c r="F222" t="str">
        <f t="shared" si="7"/>
        <v>May</v>
      </c>
    </row>
    <row r="223" spans="1:6" x14ac:dyDescent="0.2">
      <c r="A223" s="4">
        <v>38502.35382845714</v>
      </c>
      <c r="B223">
        <v>221</v>
      </c>
      <c r="C223" t="str">
        <f t="shared" si="6"/>
        <v>2005</v>
      </c>
      <c r="F223" t="str">
        <f t="shared" si="7"/>
        <v>May</v>
      </c>
    </row>
    <row r="224" spans="1:6" x14ac:dyDescent="0.2">
      <c r="A224" s="4">
        <v>38502.501469305447</v>
      </c>
      <c r="B224">
        <v>222</v>
      </c>
      <c r="C224" t="str">
        <f t="shared" si="6"/>
        <v>2005</v>
      </c>
      <c r="F224" t="str">
        <f t="shared" si="7"/>
        <v>May</v>
      </c>
    </row>
    <row r="225" spans="1:6" x14ac:dyDescent="0.2">
      <c r="A225" s="4">
        <v>38502.563020479603</v>
      </c>
      <c r="B225">
        <v>223</v>
      </c>
      <c r="C225" t="str">
        <f t="shared" si="6"/>
        <v>2005</v>
      </c>
      <c r="F225" t="str">
        <f t="shared" si="7"/>
        <v>May</v>
      </c>
    </row>
    <row r="226" spans="1:6" x14ac:dyDescent="0.2">
      <c r="A226" s="4">
        <v>38502.87906490692</v>
      </c>
      <c r="B226">
        <v>224</v>
      </c>
      <c r="C226" t="str">
        <f t="shared" si="6"/>
        <v>2005</v>
      </c>
      <c r="F226" t="str">
        <f t="shared" si="7"/>
        <v>May</v>
      </c>
    </row>
    <row r="227" spans="1:6" x14ac:dyDescent="0.2">
      <c r="A227" s="4">
        <v>38503.003864335449</v>
      </c>
      <c r="B227">
        <v>225</v>
      </c>
      <c r="C227" t="str">
        <f t="shared" si="6"/>
        <v>2005</v>
      </c>
      <c r="F227" t="str">
        <f t="shared" si="7"/>
        <v>May</v>
      </c>
    </row>
    <row r="228" spans="1:6" x14ac:dyDescent="0.2">
      <c r="A228" s="4">
        <v>38503.136591256596</v>
      </c>
      <c r="B228">
        <v>226</v>
      </c>
      <c r="C228" t="str">
        <f t="shared" si="6"/>
        <v>2005</v>
      </c>
      <c r="F228" t="str">
        <f t="shared" si="7"/>
        <v>May</v>
      </c>
    </row>
    <row r="229" spans="1:6" x14ac:dyDescent="0.2">
      <c r="A229" s="4">
        <v>38503.173432557211</v>
      </c>
      <c r="B229">
        <v>227</v>
      </c>
      <c r="C229" t="str">
        <f t="shared" si="6"/>
        <v>2005</v>
      </c>
      <c r="F229" t="str">
        <f t="shared" si="7"/>
        <v>May</v>
      </c>
    </row>
    <row r="230" spans="1:6" x14ac:dyDescent="0.2">
      <c r="A230" s="4">
        <v>38503.371050115624</v>
      </c>
      <c r="B230">
        <v>228</v>
      </c>
      <c r="C230" t="str">
        <f t="shared" si="6"/>
        <v>2005</v>
      </c>
      <c r="F230" t="str">
        <f t="shared" si="7"/>
        <v>May</v>
      </c>
    </row>
    <row r="231" spans="1:6" x14ac:dyDescent="0.2">
      <c r="A231" s="4">
        <v>38503.869903854546</v>
      </c>
      <c r="B231">
        <v>229</v>
      </c>
      <c r="C231" t="str">
        <f t="shared" si="6"/>
        <v>2005</v>
      </c>
      <c r="F231" t="str">
        <f t="shared" si="7"/>
        <v>May</v>
      </c>
    </row>
    <row r="232" spans="1:6" x14ac:dyDescent="0.2">
      <c r="A232" s="4">
        <v>38504.067585266901</v>
      </c>
      <c r="B232">
        <v>230</v>
      </c>
      <c r="C232" t="str">
        <f t="shared" si="6"/>
        <v>2005</v>
      </c>
      <c r="F232" t="str">
        <f t="shared" si="7"/>
        <v>June</v>
      </c>
    </row>
    <row r="233" spans="1:6" x14ac:dyDescent="0.2">
      <c r="A233" s="4">
        <v>38504.074215622015</v>
      </c>
      <c r="B233">
        <v>231</v>
      </c>
      <c r="C233" t="str">
        <f t="shared" si="6"/>
        <v>2005</v>
      </c>
      <c r="F233" t="str">
        <f t="shared" si="7"/>
        <v>June</v>
      </c>
    </row>
    <row r="234" spans="1:6" x14ac:dyDescent="0.2">
      <c r="A234" s="4">
        <v>38504.635257218477</v>
      </c>
      <c r="B234">
        <v>232</v>
      </c>
      <c r="C234" t="str">
        <f t="shared" si="6"/>
        <v>2005</v>
      </c>
      <c r="F234" t="str">
        <f t="shared" si="7"/>
        <v>June</v>
      </c>
    </row>
    <row r="235" spans="1:6" x14ac:dyDescent="0.2">
      <c r="A235" s="4">
        <v>38504.654792510148</v>
      </c>
      <c r="B235">
        <v>233</v>
      </c>
      <c r="C235" t="str">
        <f t="shared" si="6"/>
        <v>2005</v>
      </c>
      <c r="F235" t="str">
        <f t="shared" si="7"/>
        <v>June</v>
      </c>
    </row>
    <row r="236" spans="1:6" x14ac:dyDescent="0.2">
      <c r="A236" s="4">
        <v>38504.921763153936</v>
      </c>
      <c r="B236">
        <v>234</v>
      </c>
      <c r="C236" t="str">
        <f t="shared" si="6"/>
        <v>2005</v>
      </c>
      <c r="F236" t="str">
        <f t="shared" si="7"/>
        <v>June</v>
      </c>
    </row>
    <row r="237" spans="1:6" x14ac:dyDescent="0.2">
      <c r="A237" s="4">
        <v>38505.597972810996</v>
      </c>
      <c r="B237">
        <v>235</v>
      </c>
      <c r="C237" t="str">
        <f t="shared" si="6"/>
        <v>2005</v>
      </c>
      <c r="F237" t="str">
        <f t="shared" si="7"/>
        <v>June</v>
      </c>
    </row>
    <row r="238" spans="1:6" x14ac:dyDescent="0.2">
      <c r="A238" s="4">
        <v>38506</v>
      </c>
      <c r="B238">
        <v>236</v>
      </c>
      <c r="C238" t="str">
        <f t="shared" si="6"/>
        <v>2005</v>
      </c>
      <c r="F238" t="str">
        <f t="shared" si="7"/>
        <v>June</v>
      </c>
    </row>
    <row r="239" spans="1:6" x14ac:dyDescent="0.2">
      <c r="A239" s="4">
        <v>38506.143543018843</v>
      </c>
      <c r="B239">
        <v>237</v>
      </c>
      <c r="C239" t="str">
        <f t="shared" si="6"/>
        <v>2005</v>
      </c>
      <c r="F239" t="str">
        <f t="shared" si="7"/>
        <v>June</v>
      </c>
    </row>
    <row r="240" spans="1:6" x14ac:dyDescent="0.2">
      <c r="A240" s="4">
        <v>38506.423691498007</v>
      </c>
      <c r="B240">
        <v>238</v>
      </c>
      <c r="C240" t="str">
        <f t="shared" si="6"/>
        <v>2005</v>
      </c>
      <c r="F240" t="str">
        <f t="shared" si="7"/>
        <v>June</v>
      </c>
    </row>
    <row r="241" spans="1:6" x14ac:dyDescent="0.2">
      <c r="A241" s="4">
        <v>38506.446749428695</v>
      </c>
      <c r="B241">
        <v>239</v>
      </c>
      <c r="C241" t="str">
        <f t="shared" si="6"/>
        <v>2005</v>
      </c>
      <c r="F241" t="str">
        <f t="shared" si="7"/>
        <v>June</v>
      </c>
    </row>
    <row r="242" spans="1:6" x14ac:dyDescent="0.2">
      <c r="A242" s="4">
        <v>38507.173857865411</v>
      </c>
      <c r="B242">
        <v>240</v>
      </c>
      <c r="C242" t="str">
        <f t="shared" si="6"/>
        <v>2005</v>
      </c>
      <c r="F242" t="str">
        <f t="shared" si="7"/>
        <v>June</v>
      </c>
    </row>
    <row r="243" spans="1:6" x14ac:dyDescent="0.2">
      <c r="A243" s="4">
        <v>38507.437945037615</v>
      </c>
      <c r="B243">
        <v>241</v>
      </c>
      <c r="C243" t="str">
        <f t="shared" si="6"/>
        <v>2005</v>
      </c>
      <c r="F243" t="str">
        <f t="shared" si="7"/>
        <v>June</v>
      </c>
    </row>
    <row r="244" spans="1:6" x14ac:dyDescent="0.2">
      <c r="A244" s="4">
        <v>38508.094898498486</v>
      </c>
      <c r="B244">
        <v>242</v>
      </c>
      <c r="C244" t="str">
        <f t="shared" si="6"/>
        <v>2005</v>
      </c>
      <c r="F244" t="str">
        <f t="shared" si="7"/>
        <v>June</v>
      </c>
    </row>
    <row r="245" spans="1:6" x14ac:dyDescent="0.2">
      <c r="A245" s="4">
        <v>38509.026757659543</v>
      </c>
      <c r="B245">
        <v>243</v>
      </c>
      <c r="C245" t="str">
        <f t="shared" si="6"/>
        <v>2005</v>
      </c>
      <c r="F245" t="str">
        <f t="shared" si="7"/>
        <v>June</v>
      </c>
    </row>
    <row r="246" spans="1:6" x14ac:dyDescent="0.2">
      <c r="A246" s="4">
        <v>38509.904475907511</v>
      </c>
      <c r="B246">
        <v>244</v>
      </c>
      <c r="C246" t="str">
        <f t="shared" si="6"/>
        <v>2005</v>
      </c>
      <c r="F246" t="str">
        <f t="shared" si="7"/>
        <v>June</v>
      </c>
    </row>
    <row r="247" spans="1:6" x14ac:dyDescent="0.2">
      <c r="A247" s="4">
        <v>38510.082057853186</v>
      </c>
      <c r="B247">
        <v>245</v>
      </c>
      <c r="C247" t="str">
        <f t="shared" si="6"/>
        <v>2005</v>
      </c>
      <c r="F247" t="str">
        <f t="shared" si="7"/>
        <v>June</v>
      </c>
    </row>
    <row r="248" spans="1:6" x14ac:dyDescent="0.2">
      <c r="A248" s="4">
        <v>38510.246717088863</v>
      </c>
      <c r="B248">
        <v>246</v>
      </c>
      <c r="C248" t="str">
        <f t="shared" si="6"/>
        <v>2005</v>
      </c>
      <c r="F248" t="str">
        <f t="shared" si="7"/>
        <v>June</v>
      </c>
    </row>
    <row r="249" spans="1:6" x14ac:dyDescent="0.2">
      <c r="A249" s="4">
        <v>38510.898036174745</v>
      </c>
      <c r="B249">
        <v>247</v>
      </c>
      <c r="C249" t="str">
        <f t="shared" si="6"/>
        <v>2005</v>
      </c>
      <c r="F249" t="str">
        <f t="shared" si="7"/>
        <v>June</v>
      </c>
    </row>
    <row r="250" spans="1:6" x14ac:dyDescent="0.2">
      <c r="A250" s="4">
        <v>38511.173373044294</v>
      </c>
      <c r="B250">
        <v>248</v>
      </c>
      <c r="C250" t="str">
        <f t="shared" si="6"/>
        <v>2005</v>
      </c>
      <c r="F250" t="str">
        <f t="shared" si="7"/>
        <v>June</v>
      </c>
    </row>
    <row r="251" spans="1:6" x14ac:dyDescent="0.2">
      <c r="A251" s="4">
        <v>38511.598387722959</v>
      </c>
      <c r="B251">
        <v>249</v>
      </c>
      <c r="C251" t="str">
        <f t="shared" si="6"/>
        <v>2005</v>
      </c>
      <c r="F251" t="str">
        <f t="shared" si="7"/>
        <v>June</v>
      </c>
    </row>
    <row r="252" spans="1:6" x14ac:dyDescent="0.2">
      <c r="A252" s="4">
        <v>38511.605510426241</v>
      </c>
      <c r="B252">
        <v>250</v>
      </c>
      <c r="C252" t="str">
        <f t="shared" si="6"/>
        <v>2005</v>
      </c>
      <c r="F252" t="str">
        <f t="shared" si="7"/>
        <v>June</v>
      </c>
    </row>
    <row r="253" spans="1:6" x14ac:dyDescent="0.2">
      <c r="A253" s="4">
        <v>38511.750132488465</v>
      </c>
      <c r="B253">
        <v>251</v>
      </c>
      <c r="C253" t="str">
        <f t="shared" si="6"/>
        <v>2005</v>
      </c>
      <c r="F253" t="str">
        <f t="shared" si="7"/>
        <v>June</v>
      </c>
    </row>
    <row r="254" spans="1:6" x14ac:dyDescent="0.2">
      <c r="A254" s="4">
        <v>38512.262453010328</v>
      </c>
      <c r="B254">
        <v>252</v>
      </c>
      <c r="C254" t="str">
        <f t="shared" si="6"/>
        <v>2005</v>
      </c>
      <c r="F254" t="str">
        <f t="shared" si="7"/>
        <v>June</v>
      </c>
    </row>
    <row r="255" spans="1:6" x14ac:dyDescent="0.2">
      <c r="A255" s="4">
        <v>38512.338617434427</v>
      </c>
      <c r="B255">
        <v>253</v>
      </c>
      <c r="C255" t="str">
        <f t="shared" si="6"/>
        <v>2005</v>
      </c>
      <c r="F255" t="str">
        <f t="shared" si="7"/>
        <v>June</v>
      </c>
    </row>
    <row r="256" spans="1:6" x14ac:dyDescent="0.2">
      <c r="A256" s="4">
        <v>38512.519237026107</v>
      </c>
      <c r="B256">
        <v>254</v>
      </c>
      <c r="C256" t="str">
        <f t="shared" si="6"/>
        <v>2005</v>
      </c>
      <c r="F256" t="str">
        <f t="shared" si="7"/>
        <v>June</v>
      </c>
    </row>
    <row r="257" spans="1:6" x14ac:dyDescent="0.2">
      <c r="A257" s="4">
        <v>38512.849285173863</v>
      </c>
      <c r="B257">
        <v>255</v>
      </c>
      <c r="C257" t="str">
        <f t="shared" si="6"/>
        <v>2005</v>
      </c>
      <c r="F257" t="str">
        <f t="shared" si="7"/>
        <v>June</v>
      </c>
    </row>
    <row r="258" spans="1:6" x14ac:dyDescent="0.2">
      <c r="A258" s="4">
        <v>38513.736175646693</v>
      </c>
      <c r="B258">
        <v>256</v>
      </c>
      <c r="C258" t="str">
        <f t="shared" si="6"/>
        <v>2005</v>
      </c>
      <c r="F258" t="str">
        <f t="shared" si="7"/>
        <v>June</v>
      </c>
    </row>
    <row r="259" spans="1:6" x14ac:dyDescent="0.2">
      <c r="A259" s="4">
        <v>38513.811156236676</v>
      </c>
      <c r="B259">
        <v>257</v>
      </c>
      <c r="C259" t="str">
        <f t="shared" si="6"/>
        <v>2005</v>
      </c>
      <c r="F259" t="str">
        <f t="shared" si="7"/>
        <v>June</v>
      </c>
    </row>
    <row r="260" spans="1:6" x14ac:dyDescent="0.2">
      <c r="A260" s="4">
        <v>38513.817517922398</v>
      </c>
      <c r="B260">
        <v>258</v>
      </c>
      <c r="C260" t="str">
        <f t="shared" ref="C260:C323" si="8">TEXT(A260,"YYY")</f>
        <v>2005</v>
      </c>
      <c r="F260" t="str">
        <f t="shared" ref="F260:F323" si="9">TEXT(A260,"MMMM")</f>
        <v>June</v>
      </c>
    </row>
    <row r="261" spans="1:6" x14ac:dyDescent="0.2">
      <c r="A261" s="4">
        <v>38514.040576122628</v>
      </c>
      <c r="B261">
        <v>259</v>
      </c>
      <c r="C261" t="str">
        <f t="shared" si="8"/>
        <v>2005</v>
      </c>
      <c r="F261" t="str">
        <f t="shared" si="9"/>
        <v>June</v>
      </c>
    </row>
    <row r="262" spans="1:6" x14ac:dyDescent="0.2">
      <c r="A262" s="4">
        <v>38514.141112396268</v>
      </c>
      <c r="B262">
        <v>260</v>
      </c>
      <c r="C262" t="str">
        <f t="shared" si="8"/>
        <v>2005</v>
      </c>
      <c r="F262" t="str">
        <f t="shared" si="9"/>
        <v>June</v>
      </c>
    </row>
    <row r="263" spans="1:6" x14ac:dyDescent="0.2">
      <c r="A263" s="4">
        <v>38514.841581975052</v>
      </c>
      <c r="B263">
        <v>261</v>
      </c>
      <c r="C263" t="str">
        <f t="shared" si="8"/>
        <v>2005</v>
      </c>
      <c r="F263" t="str">
        <f t="shared" si="9"/>
        <v>June</v>
      </c>
    </row>
    <row r="264" spans="1:6" x14ac:dyDescent="0.2">
      <c r="A264" s="4">
        <v>38515.267679109122</v>
      </c>
      <c r="B264">
        <v>262</v>
      </c>
      <c r="C264" t="str">
        <f t="shared" si="8"/>
        <v>2005</v>
      </c>
      <c r="F264" t="str">
        <f t="shared" si="9"/>
        <v>June</v>
      </c>
    </row>
    <row r="265" spans="1:6" x14ac:dyDescent="0.2">
      <c r="A265" s="4">
        <v>38515.674679576776</v>
      </c>
      <c r="B265">
        <v>263</v>
      </c>
      <c r="C265" t="str">
        <f t="shared" si="8"/>
        <v>2005</v>
      </c>
      <c r="F265" t="str">
        <f t="shared" si="9"/>
        <v>June</v>
      </c>
    </row>
    <row r="266" spans="1:6" x14ac:dyDescent="0.2">
      <c r="A266" s="4">
        <v>38516.513907942921</v>
      </c>
      <c r="B266">
        <v>264</v>
      </c>
      <c r="C266" t="str">
        <f t="shared" si="8"/>
        <v>2005</v>
      </c>
      <c r="F266" t="str">
        <f t="shared" si="9"/>
        <v>June</v>
      </c>
    </row>
    <row r="267" spans="1:6" x14ac:dyDescent="0.2">
      <c r="A267" s="4">
        <v>38517.388818623673</v>
      </c>
      <c r="B267">
        <v>265</v>
      </c>
      <c r="C267" t="str">
        <f t="shared" si="8"/>
        <v>2005</v>
      </c>
      <c r="F267" t="str">
        <f t="shared" si="9"/>
        <v>June</v>
      </c>
    </row>
    <row r="268" spans="1:6" x14ac:dyDescent="0.2">
      <c r="A268" s="4">
        <v>38517.419402557061</v>
      </c>
      <c r="B268">
        <v>266</v>
      </c>
      <c r="C268" t="str">
        <f t="shared" si="8"/>
        <v>2005</v>
      </c>
      <c r="F268" t="str">
        <f t="shared" si="9"/>
        <v>June</v>
      </c>
    </row>
    <row r="269" spans="1:6" x14ac:dyDescent="0.2">
      <c r="A269" s="4">
        <v>38517.692081036446</v>
      </c>
      <c r="B269">
        <v>267</v>
      </c>
      <c r="C269" t="str">
        <f t="shared" si="8"/>
        <v>2005</v>
      </c>
      <c r="F269" t="str">
        <f t="shared" si="9"/>
        <v>June</v>
      </c>
    </row>
    <row r="270" spans="1:6" x14ac:dyDescent="0.2">
      <c r="A270" s="4">
        <v>38517.756176619951</v>
      </c>
      <c r="B270">
        <v>268</v>
      </c>
      <c r="C270" t="str">
        <f t="shared" si="8"/>
        <v>2005</v>
      </c>
      <c r="F270" t="str">
        <f t="shared" si="9"/>
        <v>June</v>
      </c>
    </row>
    <row r="271" spans="1:6" x14ac:dyDescent="0.2">
      <c r="A271" s="4">
        <v>38518.445572161916</v>
      </c>
      <c r="B271">
        <v>269</v>
      </c>
      <c r="C271" t="str">
        <f t="shared" si="8"/>
        <v>2005</v>
      </c>
      <c r="F271" t="str">
        <f t="shared" si="9"/>
        <v>June</v>
      </c>
    </row>
    <row r="272" spans="1:6" x14ac:dyDescent="0.2">
      <c r="A272" s="4">
        <v>38518.452028877604</v>
      </c>
      <c r="B272">
        <v>270</v>
      </c>
      <c r="C272" t="str">
        <f t="shared" si="8"/>
        <v>2005</v>
      </c>
      <c r="F272" t="str">
        <f t="shared" si="9"/>
        <v>June</v>
      </c>
    </row>
    <row r="273" spans="1:6" x14ac:dyDescent="0.2">
      <c r="A273" s="4">
        <v>38519.858648719281</v>
      </c>
      <c r="B273">
        <v>271</v>
      </c>
      <c r="C273" t="str">
        <f t="shared" si="8"/>
        <v>2005</v>
      </c>
      <c r="F273" t="str">
        <f t="shared" si="9"/>
        <v>June</v>
      </c>
    </row>
    <row r="274" spans="1:6" x14ac:dyDescent="0.2">
      <c r="A274" s="4">
        <v>38520.399370577208</v>
      </c>
      <c r="B274">
        <v>272</v>
      </c>
      <c r="C274" t="str">
        <f t="shared" si="8"/>
        <v>2005</v>
      </c>
      <c r="F274" t="str">
        <f t="shared" si="9"/>
        <v>June</v>
      </c>
    </row>
    <row r="275" spans="1:6" x14ac:dyDescent="0.2">
      <c r="A275" s="4">
        <v>38520.400675806479</v>
      </c>
      <c r="B275">
        <v>273</v>
      </c>
      <c r="C275" t="str">
        <f t="shared" si="8"/>
        <v>2005</v>
      </c>
      <c r="F275" t="str">
        <f t="shared" si="9"/>
        <v>June</v>
      </c>
    </row>
    <row r="276" spans="1:6" x14ac:dyDescent="0.2">
      <c r="A276" s="4">
        <v>38520.595139879057</v>
      </c>
      <c r="B276">
        <v>274</v>
      </c>
      <c r="C276" t="str">
        <f t="shared" si="8"/>
        <v>2005</v>
      </c>
      <c r="F276" t="str">
        <f t="shared" si="9"/>
        <v>June</v>
      </c>
    </row>
    <row r="277" spans="1:6" x14ac:dyDescent="0.2">
      <c r="A277" s="4">
        <v>38521.414503203145</v>
      </c>
      <c r="B277">
        <v>275</v>
      </c>
      <c r="C277" t="str">
        <f t="shared" si="8"/>
        <v>2005</v>
      </c>
      <c r="F277" t="str">
        <f t="shared" si="9"/>
        <v>June</v>
      </c>
    </row>
    <row r="278" spans="1:6" x14ac:dyDescent="0.2">
      <c r="A278" s="4">
        <v>38521.601112933538</v>
      </c>
      <c r="B278">
        <v>276</v>
      </c>
      <c r="C278" t="str">
        <f t="shared" si="8"/>
        <v>2005</v>
      </c>
      <c r="F278" t="str">
        <f t="shared" si="9"/>
        <v>June</v>
      </c>
    </row>
    <row r="279" spans="1:6" x14ac:dyDescent="0.2">
      <c r="A279" s="4">
        <v>38522.652453154944</v>
      </c>
      <c r="B279">
        <v>277</v>
      </c>
      <c r="C279" t="str">
        <f t="shared" si="8"/>
        <v>2005</v>
      </c>
      <c r="F279" t="str">
        <f t="shared" si="9"/>
        <v>June</v>
      </c>
    </row>
    <row r="280" spans="1:6" x14ac:dyDescent="0.2">
      <c r="A280" s="4">
        <v>38523.787206717177</v>
      </c>
      <c r="B280">
        <v>278</v>
      </c>
      <c r="C280" t="str">
        <f t="shared" si="8"/>
        <v>2005</v>
      </c>
      <c r="F280" t="str">
        <f t="shared" si="9"/>
        <v>June</v>
      </c>
    </row>
    <row r="281" spans="1:6" x14ac:dyDescent="0.2">
      <c r="A281" s="4">
        <v>38524.580725806023</v>
      </c>
      <c r="B281">
        <v>279</v>
      </c>
      <c r="C281" t="str">
        <f t="shared" si="8"/>
        <v>2005</v>
      </c>
      <c r="F281" t="str">
        <f t="shared" si="9"/>
        <v>June</v>
      </c>
    </row>
    <row r="282" spans="1:6" x14ac:dyDescent="0.2">
      <c r="A282" s="4">
        <v>38524.74062358513</v>
      </c>
      <c r="B282">
        <v>280</v>
      </c>
      <c r="C282" t="str">
        <f t="shared" si="8"/>
        <v>2005</v>
      </c>
      <c r="F282" t="str">
        <f t="shared" si="9"/>
        <v>June</v>
      </c>
    </row>
    <row r="283" spans="1:6" x14ac:dyDescent="0.2">
      <c r="A283" s="4">
        <v>38524.953235074972</v>
      </c>
      <c r="B283">
        <v>281</v>
      </c>
      <c r="C283" t="str">
        <f t="shared" si="8"/>
        <v>2005</v>
      </c>
      <c r="F283" t="str">
        <f t="shared" si="9"/>
        <v>June</v>
      </c>
    </row>
    <row r="284" spans="1:6" x14ac:dyDescent="0.2">
      <c r="A284" s="4">
        <v>38525.039266755477</v>
      </c>
      <c r="B284">
        <v>282</v>
      </c>
      <c r="C284" t="str">
        <f t="shared" si="8"/>
        <v>2005</v>
      </c>
      <c r="F284" t="str">
        <f t="shared" si="9"/>
        <v>June</v>
      </c>
    </row>
    <row r="285" spans="1:6" x14ac:dyDescent="0.2">
      <c r="A285" s="4">
        <v>38525.055927564921</v>
      </c>
      <c r="B285">
        <v>283</v>
      </c>
      <c r="C285" t="str">
        <f t="shared" si="8"/>
        <v>2005</v>
      </c>
      <c r="F285" t="str">
        <f t="shared" si="9"/>
        <v>June</v>
      </c>
    </row>
    <row r="286" spans="1:6" x14ac:dyDescent="0.2">
      <c r="A286" s="4">
        <v>38525.360252248007</v>
      </c>
      <c r="B286">
        <v>284</v>
      </c>
      <c r="C286" t="str">
        <f t="shared" si="8"/>
        <v>2005</v>
      </c>
      <c r="F286" t="str">
        <f t="shared" si="9"/>
        <v>June</v>
      </c>
    </row>
    <row r="287" spans="1:6" x14ac:dyDescent="0.2">
      <c r="A287" s="4">
        <v>38525.584265422825</v>
      </c>
      <c r="B287">
        <v>285</v>
      </c>
      <c r="C287" t="str">
        <f t="shared" si="8"/>
        <v>2005</v>
      </c>
      <c r="F287" t="str">
        <f t="shared" si="9"/>
        <v>June</v>
      </c>
    </row>
    <row r="288" spans="1:6" x14ac:dyDescent="0.2">
      <c r="A288" s="4">
        <v>38525.6728969838</v>
      </c>
      <c r="B288">
        <v>286</v>
      </c>
      <c r="C288" t="str">
        <f t="shared" si="8"/>
        <v>2005</v>
      </c>
      <c r="F288" t="str">
        <f t="shared" si="9"/>
        <v>June</v>
      </c>
    </row>
    <row r="289" spans="1:6" x14ac:dyDescent="0.2">
      <c r="A289" s="4">
        <v>38526.415078981598</v>
      </c>
      <c r="B289">
        <v>287</v>
      </c>
      <c r="C289" t="str">
        <f t="shared" si="8"/>
        <v>2005</v>
      </c>
      <c r="F289" t="str">
        <f t="shared" si="9"/>
        <v>June</v>
      </c>
    </row>
    <row r="290" spans="1:6" x14ac:dyDescent="0.2">
      <c r="A290" s="4">
        <v>38527.667287913289</v>
      </c>
      <c r="B290">
        <v>288</v>
      </c>
      <c r="C290" t="str">
        <f t="shared" si="8"/>
        <v>2005</v>
      </c>
      <c r="F290" t="str">
        <f t="shared" si="9"/>
        <v>June</v>
      </c>
    </row>
    <row r="291" spans="1:6" x14ac:dyDescent="0.2">
      <c r="A291" s="4">
        <v>38527.833453033127</v>
      </c>
      <c r="B291">
        <v>289</v>
      </c>
      <c r="C291" t="str">
        <f t="shared" si="8"/>
        <v>2005</v>
      </c>
      <c r="F291" t="str">
        <f t="shared" si="9"/>
        <v>June</v>
      </c>
    </row>
    <row r="292" spans="1:6" x14ac:dyDescent="0.2">
      <c r="A292" s="4">
        <v>38529.303757611749</v>
      </c>
      <c r="B292">
        <v>290</v>
      </c>
      <c r="C292" t="str">
        <f t="shared" si="8"/>
        <v>2005</v>
      </c>
      <c r="F292" t="str">
        <f t="shared" si="9"/>
        <v>June</v>
      </c>
    </row>
    <row r="293" spans="1:6" x14ac:dyDescent="0.2">
      <c r="A293" s="4">
        <v>38529.399083148186</v>
      </c>
      <c r="B293">
        <v>291</v>
      </c>
      <c r="C293" t="str">
        <f t="shared" si="8"/>
        <v>2005</v>
      </c>
      <c r="F293" t="str">
        <f t="shared" si="9"/>
        <v>June</v>
      </c>
    </row>
    <row r="294" spans="1:6" x14ac:dyDescent="0.2">
      <c r="A294" s="4">
        <v>38529.784413024623</v>
      </c>
      <c r="B294">
        <v>292</v>
      </c>
      <c r="C294" t="str">
        <f t="shared" si="8"/>
        <v>2005</v>
      </c>
      <c r="F294" t="str">
        <f t="shared" si="9"/>
        <v>June</v>
      </c>
    </row>
    <row r="295" spans="1:6" x14ac:dyDescent="0.2">
      <c r="A295" s="4">
        <v>38529.984614829948</v>
      </c>
      <c r="B295">
        <v>293</v>
      </c>
      <c r="C295" t="str">
        <f t="shared" si="8"/>
        <v>2005</v>
      </c>
      <c r="F295" t="str">
        <f t="shared" si="9"/>
        <v>June</v>
      </c>
    </row>
    <row r="296" spans="1:6" x14ac:dyDescent="0.2">
      <c r="A296" s="4">
        <v>38531.601720489569</v>
      </c>
      <c r="B296">
        <v>294</v>
      </c>
      <c r="C296" t="str">
        <f t="shared" si="8"/>
        <v>2005</v>
      </c>
      <c r="F296" t="str">
        <f t="shared" si="9"/>
        <v>June</v>
      </c>
    </row>
    <row r="297" spans="1:6" x14ac:dyDescent="0.2">
      <c r="A297" s="4">
        <v>38531.744024914849</v>
      </c>
      <c r="B297">
        <v>295</v>
      </c>
      <c r="C297" t="str">
        <f t="shared" si="8"/>
        <v>2005</v>
      </c>
      <c r="F297" t="str">
        <f t="shared" si="9"/>
        <v>June</v>
      </c>
    </row>
    <row r="298" spans="1:6" x14ac:dyDescent="0.2">
      <c r="A298" s="4">
        <v>38532.091557279302</v>
      </c>
      <c r="B298">
        <v>296</v>
      </c>
      <c r="C298" t="str">
        <f t="shared" si="8"/>
        <v>2005</v>
      </c>
      <c r="F298" t="str">
        <f t="shared" si="9"/>
        <v>June</v>
      </c>
    </row>
    <row r="299" spans="1:6" x14ac:dyDescent="0.2">
      <c r="A299" s="4">
        <v>38533.613997287219</v>
      </c>
      <c r="B299">
        <v>297</v>
      </c>
      <c r="C299" t="str">
        <f t="shared" si="8"/>
        <v>2005</v>
      </c>
      <c r="F299" t="str">
        <f t="shared" si="9"/>
        <v>June</v>
      </c>
    </row>
    <row r="300" spans="1:6" x14ac:dyDescent="0.2">
      <c r="A300" s="4">
        <v>38534.405624520019</v>
      </c>
      <c r="B300">
        <v>298</v>
      </c>
      <c r="C300" t="str">
        <f t="shared" si="8"/>
        <v>2005</v>
      </c>
      <c r="F300" t="str">
        <f t="shared" si="9"/>
        <v>July</v>
      </c>
    </row>
    <row r="301" spans="1:6" x14ac:dyDescent="0.2">
      <c r="A301" s="4">
        <v>38534.991076412414</v>
      </c>
      <c r="B301">
        <v>299</v>
      </c>
      <c r="C301" t="str">
        <f t="shared" si="8"/>
        <v>2005</v>
      </c>
      <c r="F301" t="str">
        <f t="shared" si="9"/>
        <v>July</v>
      </c>
    </row>
    <row r="302" spans="1:6" x14ac:dyDescent="0.2">
      <c r="A302" s="4">
        <v>38535.186031128367</v>
      </c>
      <c r="B302">
        <v>300</v>
      </c>
      <c r="C302" t="str">
        <f t="shared" si="8"/>
        <v>2005</v>
      </c>
      <c r="F302" t="str">
        <f t="shared" si="9"/>
        <v>July</v>
      </c>
    </row>
    <row r="303" spans="1:6" x14ac:dyDescent="0.2">
      <c r="A303" s="4">
        <v>38537.372858053634</v>
      </c>
      <c r="B303">
        <v>301</v>
      </c>
      <c r="C303" t="str">
        <f t="shared" si="8"/>
        <v>2005</v>
      </c>
      <c r="F303" t="str">
        <f t="shared" si="9"/>
        <v>July</v>
      </c>
    </row>
    <row r="304" spans="1:6" x14ac:dyDescent="0.2">
      <c r="A304" s="4">
        <v>38537.639312627383</v>
      </c>
      <c r="B304">
        <v>302</v>
      </c>
      <c r="C304" t="str">
        <f t="shared" si="8"/>
        <v>2005</v>
      </c>
      <c r="F304" t="str">
        <f t="shared" si="9"/>
        <v>July</v>
      </c>
    </row>
    <row r="305" spans="1:6" x14ac:dyDescent="0.2">
      <c r="A305" s="4">
        <v>38537.651911331006</v>
      </c>
      <c r="B305">
        <v>303</v>
      </c>
      <c r="C305" t="str">
        <f t="shared" si="8"/>
        <v>2005</v>
      </c>
      <c r="F305" t="str">
        <f t="shared" si="9"/>
        <v>July</v>
      </c>
    </row>
    <row r="306" spans="1:6" x14ac:dyDescent="0.2">
      <c r="A306" s="4">
        <v>38539.088286773658</v>
      </c>
      <c r="B306">
        <v>304</v>
      </c>
      <c r="C306" t="str">
        <f t="shared" si="8"/>
        <v>2005</v>
      </c>
      <c r="F306" t="str">
        <f t="shared" si="9"/>
        <v>July</v>
      </c>
    </row>
    <row r="307" spans="1:6" x14ac:dyDescent="0.2">
      <c r="A307" s="4">
        <v>38541.053042089916</v>
      </c>
      <c r="B307">
        <v>305</v>
      </c>
      <c r="C307" t="str">
        <f t="shared" si="8"/>
        <v>2005</v>
      </c>
      <c r="F307" t="str">
        <f t="shared" si="9"/>
        <v>July</v>
      </c>
    </row>
    <row r="308" spans="1:6" x14ac:dyDescent="0.2">
      <c r="A308" s="4">
        <v>38541.2152804098</v>
      </c>
      <c r="B308">
        <v>306</v>
      </c>
      <c r="C308" t="str">
        <f t="shared" si="8"/>
        <v>2005</v>
      </c>
      <c r="F308" t="str">
        <f t="shared" si="9"/>
        <v>July</v>
      </c>
    </row>
    <row r="309" spans="1:6" x14ac:dyDescent="0.2">
      <c r="A309" s="4">
        <v>38541.565149510527</v>
      </c>
      <c r="B309">
        <v>307</v>
      </c>
      <c r="C309" t="str">
        <f t="shared" si="8"/>
        <v>2005</v>
      </c>
      <c r="F309" t="str">
        <f t="shared" si="9"/>
        <v>July</v>
      </c>
    </row>
    <row r="310" spans="1:6" x14ac:dyDescent="0.2">
      <c r="A310" s="4">
        <v>38542.314754111147</v>
      </c>
      <c r="B310">
        <v>308</v>
      </c>
      <c r="C310" t="str">
        <f t="shared" si="8"/>
        <v>2005</v>
      </c>
      <c r="F310" t="str">
        <f t="shared" si="9"/>
        <v>July</v>
      </c>
    </row>
    <row r="311" spans="1:6" x14ac:dyDescent="0.2">
      <c r="A311" s="4">
        <v>38544.512992020369</v>
      </c>
      <c r="B311">
        <v>309</v>
      </c>
      <c r="C311" t="str">
        <f t="shared" si="8"/>
        <v>2005</v>
      </c>
      <c r="F311" t="str">
        <f t="shared" si="9"/>
        <v>July</v>
      </c>
    </row>
    <row r="312" spans="1:6" x14ac:dyDescent="0.2">
      <c r="A312" s="4">
        <v>38546.067788723485</v>
      </c>
      <c r="B312">
        <v>310</v>
      </c>
      <c r="C312" t="str">
        <f t="shared" si="8"/>
        <v>2005</v>
      </c>
      <c r="F312" t="str">
        <f t="shared" si="9"/>
        <v>July</v>
      </c>
    </row>
    <row r="313" spans="1:6" x14ac:dyDescent="0.2">
      <c r="A313" s="4">
        <v>38546.249972655671</v>
      </c>
      <c r="B313">
        <v>311</v>
      </c>
      <c r="C313" t="str">
        <f t="shared" si="8"/>
        <v>2005</v>
      </c>
      <c r="F313" t="str">
        <f t="shared" si="9"/>
        <v>July</v>
      </c>
    </row>
    <row r="314" spans="1:6" x14ac:dyDescent="0.2">
      <c r="A314" s="4">
        <v>38548.521971182097</v>
      </c>
      <c r="B314">
        <v>312</v>
      </c>
      <c r="C314" t="str">
        <f t="shared" si="8"/>
        <v>2005</v>
      </c>
      <c r="F314" t="str">
        <f t="shared" si="9"/>
        <v>July</v>
      </c>
    </row>
    <row r="315" spans="1:6" x14ac:dyDescent="0.2">
      <c r="A315" s="4">
        <v>38549.186049781259</v>
      </c>
      <c r="B315">
        <v>313</v>
      </c>
      <c r="C315" t="str">
        <f t="shared" si="8"/>
        <v>2005</v>
      </c>
      <c r="F315" t="str">
        <f t="shared" si="9"/>
        <v>July</v>
      </c>
    </row>
    <row r="316" spans="1:6" x14ac:dyDescent="0.2">
      <c r="A316" s="4">
        <v>38551.74928573826</v>
      </c>
      <c r="B316">
        <v>314</v>
      </c>
      <c r="C316" t="str">
        <f t="shared" si="8"/>
        <v>2005</v>
      </c>
      <c r="F316" t="str">
        <f t="shared" si="9"/>
        <v>July</v>
      </c>
    </row>
    <row r="317" spans="1:6" x14ac:dyDescent="0.2">
      <c r="A317" s="4">
        <v>38551.894864938062</v>
      </c>
      <c r="B317">
        <v>315</v>
      </c>
      <c r="C317" t="str">
        <f t="shared" si="8"/>
        <v>2005</v>
      </c>
      <c r="F317" t="str">
        <f t="shared" si="9"/>
        <v>July</v>
      </c>
    </row>
    <row r="318" spans="1:6" x14ac:dyDescent="0.2">
      <c r="A318" s="4">
        <v>38553.49560331348</v>
      </c>
      <c r="B318">
        <v>316</v>
      </c>
      <c r="C318" t="str">
        <f t="shared" si="8"/>
        <v>2005</v>
      </c>
      <c r="F318" t="str">
        <f t="shared" si="9"/>
        <v>July</v>
      </c>
    </row>
    <row r="319" spans="1:6" x14ac:dyDescent="0.2">
      <c r="A319" s="4">
        <v>38555.943412378248</v>
      </c>
      <c r="B319">
        <v>317</v>
      </c>
      <c r="C319" t="str">
        <f t="shared" si="8"/>
        <v>2005</v>
      </c>
      <c r="F319" t="str">
        <f t="shared" si="9"/>
        <v>July</v>
      </c>
    </row>
    <row r="320" spans="1:6" x14ac:dyDescent="0.2">
      <c r="A320" s="4">
        <v>38556.158254052323</v>
      </c>
      <c r="B320">
        <v>318</v>
      </c>
      <c r="C320" t="str">
        <f t="shared" si="8"/>
        <v>2005</v>
      </c>
      <c r="F320" t="str">
        <f t="shared" si="9"/>
        <v>July</v>
      </c>
    </row>
    <row r="321" spans="1:6" x14ac:dyDescent="0.2">
      <c r="A321" s="4">
        <v>38562.503896445945</v>
      </c>
      <c r="B321">
        <v>319</v>
      </c>
      <c r="C321" t="str">
        <f t="shared" si="8"/>
        <v>2005</v>
      </c>
      <c r="F321" t="str">
        <f t="shared" si="9"/>
        <v>July</v>
      </c>
    </row>
    <row r="322" spans="1:6" x14ac:dyDescent="0.2">
      <c r="A322" s="4">
        <v>38563.767534189305</v>
      </c>
      <c r="B322">
        <v>320</v>
      </c>
      <c r="C322" t="str">
        <f t="shared" si="8"/>
        <v>2005</v>
      </c>
      <c r="F322" t="str">
        <f t="shared" si="9"/>
        <v>July</v>
      </c>
    </row>
    <row r="323" spans="1:6" x14ac:dyDescent="0.2">
      <c r="A323" s="4">
        <v>38566.439597705736</v>
      </c>
      <c r="B323">
        <v>321</v>
      </c>
      <c r="C323" t="str">
        <f t="shared" si="8"/>
        <v>2005</v>
      </c>
      <c r="F323" t="str">
        <f t="shared" si="9"/>
        <v>August</v>
      </c>
    </row>
    <row r="324" spans="1:6" x14ac:dyDescent="0.2">
      <c r="A324" s="4">
        <v>38566.841863581067</v>
      </c>
      <c r="B324">
        <v>322</v>
      </c>
      <c r="C324" t="str">
        <f t="shared" ref="C324:C340" si="10">TEXT(A324,"YYY")</f>
        <v>2005</v>
      </c>
      <c r="F324" t="str">
        <f t="shared" ref="F324:F340" si="11">TEXT(A324,"MMMM")</f>
        <v>August</v>
      </c>
    </row>
    <row r="325" spans="1:6" x14ac:dyDescent="0.2">
      <c r="A325" s="4">
        <v>38568.760725125474</v>
      </c>
      <c r="B325">
        <v>323</v>
      </c>
      <c r="C325" t="str">
        <f t="shared" si="10"/>
        <v>2005</v>
      </c>
      <c r="F325" t="str">
        <f t="shared" si="11"/>
        <v>August</v>
      </c>
    </row>
    <row r="326" spans="1:6" x14ac:dyDescent="0.2">
      <c r="A326" s="4">
        <v>38571.20580097779</v>
      </c>
      <c r="B326">
        <v>324</v>
      </c>
      <c r="C326" t="str">
        <f t="shared" si="10"/>
        <v>2005</v>
      </c>
      <c r="F326" t="str">
        <f t="shared" si="11"/>
        <v>August</v>
      </c>
    </row>
    <row r="327" spans="1:6" x14ac:dyDescent="0.2">
      <c r="A327" s="4">
        <v>38572.218413531737</v>
      </c>
      <c r="B327">
        <v>325</v>
      </c>
      <c r="C327" t="str">
        <f t="shared" si="10"/>
        <v>2005</v>
      </c>
      <c r="F327" t="str">
        <f t="shared" si="11"/>
        <v>August</v>
      </c>
    </row>
    <row r="328" spans="1:6" x14ac:dyDescent="0.2">
      <c r="A328" s="4">
        <v>38575.277385830566</v>
      </c>
      <c r="B328">
        <v>326</v>
      </c>
      <c r="C328" t="str">
        <f t="shared" si="10"/>
        <v>2005</v>
      </c>
      <c r="F328" t="str">
        <f t="shared" si="11"/>
        <v>August</v>
      </c>
    </row>
    <row r="329" spans="1:6" x14ac:dyDescent="0.2">
      <c r="A329" s="4">
        <v>38575.959010212937</v>
      </c>
      <c r="B329">
        <v>327</v>
      </c>
      <c r="C329" t="str">
        <f t="shared" si="10"/>
        <v>2005</v>
      </c>
      <c r="F329" t="str">
        <f t="shared" si="11"/>
        <v>August</v>
      </c>
    </row>
    <row r="330" spans="1:6" x14ac:dyDescent="0.2">
      <c r="A330" s="4">
        <v>38577.158143721506</v>
      </c>
      <c r="B330">
        <v>328</v>
      </c>
      <c r="C330" t="str">
        <f t="shared" si="10"/>
        <v>2005</v>
      </c>
      <c r="F330" t="str">
        <f t="shared" si="11"/>
        <v>August</v>
      </c>
    </row>
    <row r="331" spans="1:6" x14ac:dyDescent="0.2">
      <c r="A331" s="4">
        <v>38577.741961761159</v>
      </c>
      <c r="B331">
        <v>329</v>
      </c>
      <c r="C331" t="str">
        <f t="shared" si="10"/>
        <v>2005</v>
      </c>
      <c r="F331" t="str">
        <f t="shared" si="11"/>
        <v>August</v>
      </c>
    </row>
    <row r="332" spans="1:6" x14ac:dyDescent="0.2">
      <c r="A332" s="4">
        <v>38577.889563867655</v>
      </c>
      <c r="B332">
        <v>330</v>
      </c>
      <c r="C332" t="str">
        <f t="shared" si="10"/>
        <v>2005</v>
      </c>
      <c r="F332" t="str">
        <f t="shared" si="11"/>
        <v>August</v>
      </c>
    </row>
    <row r="333" spans="1:6" x14ac:dyDescent="0.2">
      <c r="A333" s="4">
        <v>38580.076861801848</v>
      </c>
      <c r="B333">
        <v>331</v>
      </c>
      <c r="C333" t="str">
        <f t="shared" si="10"/>
        <v>2005</v>
      </c>
      <c r="F333" t="str">
        <f t="shared" si="11"/>
        <v>August</v>
      </c>
    </row>
    <row r="334" spans="1:6" x14ac:dyDescent="0.2">
      <c r="A334" s="4">
        <v>38580.917041127235</v>
      </c>
      <c r="B334">
        <v>332</v>
      </c>
      <c r="C334" t="str">
        <f t="shared" si="10"/>
        <v>2005</v>
      </c>
      <c r="F334" t="str">
        <f t="shared" si="11"/>
        <v>August</v>
      </c>
    </row>
    <row r="335" spans="1:6" x14ac:dyDescent="0.2">
      <c r="A335" s="4">
        <v>38581.669427887624</v>
      </c>
      <c r="B335">
        <v>333</v>
      </c>
      <c r="C335" t="str">
        <f t="shared" si="10"/>
        <v>2005</v>
      </c>
      <c r="F335" t="str">
        <f t="shared" si="11"/>
        <v>August</v>
      </c>
    </row>
    <row r="336" spans="1:6" x14ac:dyDescent="0.2">
      <c r="A336" s="4">
        <v>38585.12882853442</v>
      </c>
      <c r="B336">
        <v>334</v>
      </c>
      <c r="C336" t="str">
        <f t="shared" si="10"/>
        <v>2005</v>
      </c>
      <c r="F336" t="str">
        <f t="shared" si="11"/>
        <v>August</v>
      </c>
    </row>
    <row r="337" spans="1:6" x14ac:dyDescent="0.2">
      <c r="A337" s="4">
        <v>38585.974636827697</v>
      </c>
      <c r="B337">
        <v>335</v>
      </c>
      <c r="C337" t="str">
        <f t="shared" si="10"/>
        <v>2005</v>
      </c>
      <c r="F337" t="str">
        <f t="shared" si="11"/>
        <v>August</v>
      </c>
    </row>
    <row r="338" spans="1:6" x14ac:dyDescent="0.2">
      <c r="A338" s="4">
        <v>38589.025782020879</v>
      </c>
      <c r="B338">
        <v>336</v>
      </c>
      <c r="C338" t="str">
        <f t="shared" si="10"/>
        <v>2005</v>
      </c>
      <c r="F338" t="str">
        <f t="shared" si="11"/>
        <v>August</v>
      </c>
    </row>
    <row r="339" spans="1:6" x14ac:dyDescent="0.2">
      <c r="A339" s="4">
        <v>38590.531868099577</v>
      </c>
      <c r="B339">
        <v>337</v>
      </c>
      <c r="C339" t="str">
        <f t="shared" si="10"/>
        <v>2005</v>
      </c>
      <c r="F339" t="str">
        <f t="shared" si="11"/>
        <v>August</v>
      </c>
    </row>
    <row r="340" spans="1:6" x14ac:dyDescent="0.2">
      <c r="A340" s="4">
        <v>38590.997432693453</v>
      </c>
      <c r="B340">
        <v>338</v>
      </c>
      <c r="C340" t="str">
        <f t="shared" si="10"/>
        <v>2005</v>
      </c>
      <c r="F340" t="str">
        <f t="shared" si="11"/>
        <v>August</v>
      </c>
    </row>
  </sheetData>
  <sortState xmlns:xlrd2="http://schemas.microsoft.com/office/spreadsheetml/2017/richdata2" ref="A3:A340">
    <sortCondition ref="A3:A3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BE6F-A4BE-4359-BA55-89998551DB56}">
  <dimension ref="A1:F15"/>
  <sheetViews>
    <sheetView workbookViewId="0">
      <selection activeCell="F3" sqref="F3"/>
    </sheetView>
  </sheetViews>
  <sheetFormatPr defaultRowHeight="12.75" x14ac:dyDescent="0.2"/>
  <cols>
    <col min="1" max="1" width="9.85546875" style="9" bestFit="1" customWidth="1"/>
    <col min="3" max="4" width="12.42578125" bestFit="1" customWidth="1"/>
  </cols>
  <sheetData>
    <row r="1" spans="1:6" x14ac:dyDescent="0.2">
      <c r="A1" s="11"/>
    </row>
    <row r="2" spans="1:6" x14ac:dyDescent="0.2">
      <c r="A2" s="1" t="s">
        <v>63</v>
      </c>
      <c r="B2" s="11" t="s">
        <v>60</v>
      </c>
      <c r="C2" s="11" t="s">
        <v>64</v>
      </c>
      <c r="D2" s="11" t="s">
        <v>104</v>
      </c>
    </row>
    <row r="3" spans="1:6" x14ac:dyDescent="0.2">
      <c r="A3" s="11" t="s">
        <v>36</v>
      </c>
      <c r="B3">
        <v>1</v>
      </c>
      <c r="C3" s="11" t="s">
        <v>65</v>
      </c>
      <c r="D3" t="s">
        <v>105</v>
      </c>
      <c r="F3" t="str">
        <f>$A$14&amp;B3&amp;", '"&amp;A3&amp;"', '"&amp;C3&amp;"', '"&amp;D3&amp;"'"&amp;$A$15</f>
        <v>INSERT INTO TABLE dimStore(storeKey,storeCity,storeCountry,storeRegion) VALUES (1, 'Lisbon', 'Portugal', 'Iberia');</v>
      </c>
    </row>
    <row r="4" spans="1:6" x14ac:dyDescent="0.2">
      <c r="A4" s="11" t="s">
        <v>0</v>
      </c>
      <c r="B4">
        <v>2</v>
      </c>
      <c r="C4" s="11" t="s">
        <v>65</v>
      </c>
      <c r="D4" t="s">
        <v>105</v>
      </c>
      <c r="F4" t="str">
        <f t="shared" ref="F4:F9" si="0">$A$14&amp;B4&amp;", '"&amp;A4&amp;"', '"&amp;C4&amp;"', '"&amp;D4&amp;"'"&amp;$A$15</f>
        <v>INSERT INTO TABLE dimStore(storeKey,storeCity,storeCountry,storeRegion) VALUES (2, 'Porto', 'Portugal', 'Iberia');</v>
      </c>
    </row>
    <row r="5" spans="1:6" x14ac:dyDescent="0.2">
      <c r="A5" s="11" t="s">
        <v>4</v>
      </c>
      <c r="B5">
        <v>3</v>
      </c>
      <c r="C5" s="11" t="s">
        <v>65</v>
      </c>
      <c r="D5" t="s">
        <v>105</v>
      </c>
      <c r="F5" t="str">
        <f t="shared" si="0"/>
        <v>INSERT INTO TABLE dimStore(storeKey,storeCity,storeCountry,storeRegion) VALUES (3, 'Coimbra', 'Portugal', 'Iberia');</v>
      </c>
    </row>
    <row r="6" spans="1:6" x14ac:dyDescent="0.2">
      <c r="A6" s="11" t="s">
        <v>2</v>
      </c>
      <c r="B6">
        <v>4</v>
      </c>
      <c r="C6" s="11" t="s">
        <v>66</v>
      </c>
      <c r="D6" t="s">
        <v>105</v>
      </c>
      <c r="F6" t="str">
        <f t="shared" si="0"/>
        <v>INSERT INTO TABLE dimStore(storeKey,storeCity,storeCountry,storeRegion) VALUES (4, 'Madrid', 'Spain', 'Iberia');</v>
      </c>
    </row>
    <row r="7" spans="1:6" x14ac:dyDescent="0.2">
      <c r="A7" s="11" t="s">
        <v>3</v>
      </c>
      <c r="B7">
        <v>5</v>
      </c>
      <c r="C7" s="11" t="s">
        <v>66</v>
      </c>
      <c r="D7" t="s">
        <v>105</v>
      </c>
      <c r="F7" t="str">
        <f t="shared" si="0"/>
        <v>INSERT INTO TABLE dimStore(storeKey,storeCity,storeCountry,storeRegion) VALUES (5, 'Barcelona', 'Spain', 'Iberia');</v>
      </c>
    </row>
    <row r="8" spans="1:6" x14ac:dyDescent="0.2">
      <c r="A8" s="11" t="s">
        <v>1</v>
      </c>
      <c r="B8">
        <v>6</v>
      </c>
      <c r="C8" s="11" t="s">
        <v>67</v>
      </c>
      <c r="D8" t="s">
        <v>106</v>
      </c>
      <c r="F8" t="str">
        <f t="shared" si="0"/>
        <v>INSERT INTO TABLE dimStore(storeKey,storeCity,storeCountry,storeRegion) VALUES (6, 'Paris', 'France', 'NotIberia');</v>
      </c>
    </row>
    <row r="9" spans="1:6" x14ac:dyDescent="0.2">
      <c r="A9" s="11" t="s">
        <v>37</v>
      </c>
      <c r="B9">
        <v>7</v>
      </c>
      <c r="C9" s="11" t="s">
        <v>68</v>
      </c>
      <c r="D9" t="s">
        <v>106</v>
      </c>
      <c r="F9" t="str">
        <f t="shared" si="0"/>
        <v>INSERT INTO TABLE dimStore(storeKey,storeCity,storeCountry,storeRegion) VALUES (7, 'London', 'England', 'NotIberia');</v>
      </c>
    </row>
    <row r="14" spans="1:6" x14ac:dyDescent="0.2">
      <c r="A14" s="9" t="s">
        <v>108</v>
      </c>
    </row>
    <row r="15" spans="1:6" x14ac:dyDescent="0.2">
      <c r="A15" s="9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DB35-2ABC-4D68-8AA9-FFBA27347CA6}">
  <dimension ref="B2:M22"/>
  <sheetViews>
    <sheetView workbookViewId="0">
      <selection activeCell="E3" sqref="E3"/>
    </sheetView>
  </sheetViews>
  <sheetFormatPr defaultRowHeight="12.75" x14ac:dyDescent="0.2"/>
  <cols>
    <col min="2" max="2" width="20.85546875" bestFit="1" customWidth="1"/>
    <col min="3" max="3" width="12.85546875" bestFit="1" customWidth="1"/>
    <col min="12" max="12" width="23.5703125" customWidth="1"/>
  </cols>
  <sheetData>
    <row r="2" spans="2:13" x14ac:dyDescent="0.2">
      <c r="B2" s="11" t="s">
        <v>69</v>
      </c>
      <c r="C2" s="11" t="s">
        <v>61</v>
      </c>
      <c r="M2" s="9" t="s">
        <v>109</v>
      </c>
    </row>
    <row r="3" spans="2:13" x14ac:dyDescent="0.2">
      <c r="B3" s="9" t="s">
        <v>14</v>
      </c>
      <c r="C3">
        <v>1</v>
      </c>
      <c r="E3" t="str">
        <f>$M$2&amp;C3&amp;", '"&amp;B3&amp;"'"&amp;$M$3</f>
        <v>INSERT INTO TABLE dimCustomer(customerKey,customerName) VALUES (1, 'Mercatlon');</v>
      </c>
      <c r="M3" s="9" t="s">
        <v>103</v>
      </c>
    </row>
    <row r="4" spans="2:13" x14ac:dyDescent="0.2">
      <c r="B4" s="9" t="s">
        <v>11</v>
      </c>
      <c r="C4">
        <v>2</v>
      </c>
      <c r="E4" t="str">
        <f t="shared" ref="E4:E22" si="0">$M$2&amp;C4&amp;", '"&amp;B4&amp;"'"&amp;$M$3</f>
        <v>INSERT INTO TABLE dimCustomer(customerKey,customerName) VALUES (2, 'Lisbon Consulting');</v>
      </c>
    </row>
    <row r="5" spans="2:13" x14ac:dyDescent="0.2">
      <c r="B5" s="9" t="s">
        <v>12</v>
      </c>
      <c r="C5">
        <v>3</v>
      </c>
      <c r="E5" t="str">
        <f t="shared" si="0"/>
        <v>INSERT INTO TABLE dimCustomer(customerKey,customerName) VALUES (3, 'Dist Mecano');</v>
      </c>
    </row>
    <row r="6" spans="2:13" x14ac:dyDescent="0.2">
      <c r="B6" s="9" t="s">
        <v>24</v>
      </c>
      <c r="C6">
        <v>4</v>
      </c>
      <c r="E6" t="str">
        <f t="shared" si="0"/>
        <v>INSERT INTO TABLE dimCustomer(customerKey,customerName) VALUES (4, 'Huey, Dewey and Louie');</v>
      </c>
    </row>
    <row r="7" spans="2:13" x14ac:dyDescent="0.2">
      <c r="B7" s="9" t="s">
        <v>17</v>
      </c>
      <c r="C7">
        <v>5</v>
      </c>
      <c r="E7" t="str">
        <f t="shared" si="0"/>
        <v>INSERT INTO TABLE dimCustomer(customerKey,customerName) VALUES (5, 'Silva, Silva e Silva');</v>
      </c>
    </row>
    <row r="8" spans="2:13" x14ac:dyDescent="0.2">
      <c r="B8" s="9" t="s">
        <v>10</v>
      </c>
      <c r="C8">
        <v>6</v>
      </c>
      <c r="E8" t="str">
        <f t="shared" si="0"/>
        <v>INSERT INTO TABLE dimCustomer(customerKey,customerName) VALUES (6, 'MSI Ent');</v>
      </c>
    </row>
    <row r="9" spans="2:13" x14ac:dyDescent="0.2">
      <c r="B9" s="9" t="s">
        <v>15</v>
      </c>
      <c r="C9">
        <v>7</v>
      </c>
      <c r="E9" t="str">
        <f t="shared" si="0"/>
        <v>INSERT INTO TABLE dimCustomer(customerKey,customerName) VALUES (7, 'Int. Machines');</v>
      </c>
    </row>
    <row r="10" spans="2:13" x14ac:dyDescent="0.2">
      <c r="B10" s="9" t="s">
        <v>22</v>
      </c>
      <c r="C10">
        <v>8</v>
      </c>
      <c r="E10" t="str">
        <f t="shared" si="0"/>
        <v>INSERT INTO TABLE dimCustomer(customerKey,customerName) VALUES (8, 'MyCO Inf. Systems');</v>
      </c>
    </row>
    <row r="11" spans="2:13" x14ac:dyDescent="0.2">
      <c r="B11" s="9" t="s">
        <v>20</v>
      </c>
      <c r="C11">
        <v>9</v>
      </c>
      <c r="E11" t="str">
        <f t="shared" si="0"/>
        <v>INSERT INTO TABLE dimCustomer(customerKey,customerName) VALUES (9, 'Frankenstein and Sons');</v>
      </c>
    </row>
    <row r="12" spans="2:13" x14ac:dyDescent="0.2">
      <c r="B12" s="9" t="s">
        <v>6</v>
      </c>
      <c r="C12">
        <v>10</v>
      </c>
      <c r="E12" t="str">
        <f t="shared" si="0"/>
        <v>INSERT INTO TABLE dimCustomer(customerKey,customerName) VALUES (10, 'CPPO Int.');</v>
      </c>
    </row>
    <row r="13" spans="2:13" x14ac:dyDescent="0.2">
      <c r="B13" s="9" t="s">
        <v>8</v>
      </c>
      <c r="C13">
        <v>11</v>
      </c>
      <c r="E13" t="str">
        <f t="shared" si="0"/>
        <v>INSERT INTO TABLE dimCustomer(customerKey,customerName) VALUES (11, 'José Malhoa, Lda');</v>
      </c>
    </row>
    <row r="14" spans="2:13" x14ac:dyDescent="0.2">
      <c r="B14" s="9" t="s">
        <v>7</v>
      </c>
      <c r="C14">
        <v>12</v>
      </c>
      <c r="E14" t="str">
        <f t="shared" si="0"/>
        <v>INSERT INTO TABLE dimCustomer(customerKey,customerName) VALUES (12, 'SONAC');</v>
      </c>
    </row>
    <row r="15" spans="2:13" x14ac:dyDescent="0.2">
      <c r="B15" s="9" t="s">
        <v>21</v>
      </c>
      <c r="C15">
        <v>13</v>
      </c>
      <c r="E15" t="str">
        <f t="shared" si="0"/>
        <v>INSERT INTO TABLE dimCustomer(customerKey,customerName) VALUES (13, 'h4xOR b0yZ, Intl');</v>
      </c>
    </row>
    <row r="16" spans="2:13" x14ac:dyDescent="0.2">
      <c r="B16" s="9" t="s">
        <v>13</v>
      </c>
      <c r="C16">
        <v>14</v>
      </c>
      <c r="E16" t="str">
        <f t="shared" si="0"/>
        <v>INSERT INTO TABLE dimCustomer(customerKey,customerName) VALUES (14, 'Joe Doe &amp; Assoc.');</v>
      </c>
    </row>
    <row r="17" spans="2:5" x14ac:dyDescent="0.2">
      <c r="B17" s="9" t="s">
        <v>5</v>
      </c>
      <c r="C17">
        <v>15</v>
      </c>
      <c r="E17" t="str">
        <f t="shared" si="0"/>
        <v>INSERT INTO TABLE dimCustomer(customerKey,customerName) VALUES (15, 'EmpSocor');</v>
      </c>
    </row>
    <row r="18" spans="2:5" x14ac:dyDescent="0.2">
      <c r="B18" s="9" t="s">
        <v>19</v>
      </c>
      <c r="C18">
        <v>16</v>
      </c>
      <c r="E18" t="str">
        <f t="shared" si="0"/>
        <v>INSERT INTO TABLE dimCustomer(customerKey,customerName) VALUES (16, 'Gurgle Searches');</v>
      </c>
    </row>
    <row r="19" spans="2:5" x14ac:dyDescent="0.2">
      <c r="B19" s="9" t="s">
        <v>16</v>
      </c>
      <c r="C19">
        <v>17</v>
      </c>
      <c r="E19" t="str">
        <f t="shared" si="0"/>
        <v>INSERT INTO TABLE dimCustomer(customerKey,customerName) VALUES (17, 'Mercotex');</v>
      </c>
    </row>
    <row r="20" spans="2:5" x14ac:dyDescent="0.2">
      <c r="B20" s="9" t="s">
        <v>23</v>
      </c>
      <c r="C20">
        <v>18</v>
      </c>
      <c r="E20" t="str">
        <f t="shared" si="0"/>
        <v>INSERT INTO TABLE dimCustomer(customerKey,customerName) VALUES (18, 'GIGO-FIFO SA');</v>
      </c>
    </row>
    <row r="21" spans="2:5" x14ac:dyDescent="0.2">
      <c r="B21" s="9" t="s">
        <v>18</v>
      </c>
      <c r="C21">
        <v>19</v>
      </c>
      <c r="E21" t="str">
        <f t="shared" si="0"/>
        <v>INSERT INTO TABLE dimCustomer(customerKey,customerName) VALUES (19, 'Neural Works, Intl');</v>
      </c>
    </row>
    <row r="22" spans="2:5" x14ac:dyDescent="0.2">
      <c r="B22" s="9" t="s">
        <v>9</v>
      </c>
      <c r="C22">
        <v>20</v>
      </c>
      <c r="E22" t="str">
        <f t="shared" si="0"/>
        <v>INSERT INTO TABLE dimCustomer(customerKey,customerName) VALUES (20, 'DISONI, SA');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4007-AE41-4BB2-B4E6-32EA41FA435C}">
  <dimension ref="A2:G34"/>
  <sheetViews>
    <sheetView tabSelected="1" workbookViewId="0">
      <selection activeCell="G3" sqref="G3"/>
    </sheetView>
  </sheetViews>
  <sheetFormatPr defaultRowHeight="12.75" x14ac:dyDescent="0.2"/>
  <cols>
    <col min="1" max="1" width="11.28515625" bestFit="1" customWidth="1"/>
    <col min="2" max="2" width="20" bestFit="1" customWidth="1"/>
    <col min="3" max="3" width="6.85546875" bestFit="1" customWidth="1"/>
    <col min="4" max="4" width="9.7109375" bestFit="1" customWidth="1"/>
    <col min="5" max="5" width="12.42578125" bestFit="1" customWidth="1"/>
  </cols>
  <sheetData>
    <row r="2" spans="1:7" x14ac:dyDescent="0.2">
      <c r="A2" s="11" t="s">
        <v>62</v>
      </c>
      <c r="B2" s="11" t="s">
        <v>72</v>
      </c>
      <c r="C2" t="s">
        <v>107</v>
      </c>
      <c r="D2" t="s">
        <v>33</v>
      </c>
      <c r="E2" s="11" t="s">
        <v>70</v>
      </c>
    </row>
    <row r="3" spans="1:7" x14ac:dyDescent="0.2">
      <c r="A3">
        <v>1</v>
      </c>
      <c r="B3" t="s">
        <v>73</v>
      </c>
      <c r="C3" t="s">
        <v>35</v>
      </c>
      <c r="D3" t="s">
        <v>39</v>
      </c>
      <c r="E3" s="11" t="str">
        <f>VLOOKUP(D3,productVL,2,FALSE)</f>
        <v>Cold</v>
      </c>
      <c r="G3" t="str">
        <f>$B$33&amp;B3&amp;", '"&amp;A3&amp;"', '"&amp;C3&amp;"', '"&amp;D3&amp;"'"&amp;$A$15</f>
        <v>INSERT INTO TABLE dimProduct(productKey, ,customerName) VALUES (FamilyWater, '1', 'Family', 'Water'13</v>
      </c>
    </row>
    <row r="4" spans="1:7" x14ac:dyDescent="0.2">
      <c r="A4">
        <v>2</v>
      </c>
      <c r="B4" t="s">
        <v>74</v>
      </c>
      <c r="C4" t="s">
        <v>35</v>
      </c>
      <c r="D4" t="s">
        <v>43</v>
      </c>
      <c r="E4" s="11" t="str">
        <f>VLOOKUP(D4,productVL,2,FALSE)</f>
        <v>Hot</v>
      </c>
    </row>
    <row r="5" spans="1:7" x14ac:dyDescent="0.2">
      <c r="A5">
        <v>3</v>
      </c>
      <c r="B5" t="s">
        <v>75</v>
      </c>
      <c r="C5" t="s">
        <v>35</v>
      </c>
      <c r="D5" t="s">
        <v>40</v>
      </c>
      <c r="E5" s="11" t="str">
        <f>VLOOKUP(D5,productVL,2,FALSE)</f>
        <v>Hot</v>
      </c>
    </row>
    <row r="6" spans="1:7" x14ac:dyDescent="0.2">
      <c r="A6">
        <v>4</v>
      </c>
      <c r="B6" t="s">
        <v>76</v>
      </c>
      <c r="C6" t="s">
        <v>35</v>
      </c>
      <c r="D6" t="s">
        <v>28</v>
      </c>
      <c r="E6" s="11" t="str">
        <f>VLOOKUP(D6,productVL,2,FALSE)</f>
        <v>Hot</v>
      </c>
    </row>
    <row r="7" spans="1:7" x14ac:dyDescent="0.2">
      <c r="A7">
        <v>5</v>
      </c>
      <c r="B7" t="s">
        <v>77</v>
      </c>
      <c r="C7" t="s">
        <v>35</v>
      </c>
      <c r="D7" t="s">
        <v>41</v>
      </c>
      <c r="E7" s="11" t="str">
        <f>VLOOKUP(D7,productVL,2,FALSE)</f>
        <v>Hot</v>
      </c>
    </row>
    <row r="8" spans="1:7" x14ac:dyDescent="0.2">
      <c r="A8">
        <v>6</v>
      </c>
      <c r="B8" t="s">
        <v>78</v>
      </c>
      <c r="C8" t="s">
        <v>35</v>
      </c>
      <c r="D8" t="s">
        <v>27</v>
      </c>
      <c r="E8" s="11" t="str">
        <f>VLOOKUP(D8,productVL,2,FALSE)</f>
        <v>Cold</v>
      </c>
    </row>
    <row r="9" spans="1:7" x14ac:dyDescent="0.2">
      <c r="A9">
        <v>7</v>
      </c>
      <c r="B9" t="s">
        <v>79</v>
      </c>
      <c r="C9" t="s">
        <v>35</v>
      </c>
      <c r="D9" t="s">
        <v>38</v>
      </c>
      <c r="E9" s="11" t="str">
        <f>VLOOKUP(D9,productVL,2,FALSE)</f>
        <v>Hot</v>
      </c>
    </row>
    <row r="10" spans="1:7" x14ac:dyDescent="0.2">
      <c r="A10">
        <v>8</v>
      </c>
      <c r="B10" t="s">
        <v>80</v>
      </c>
      <c r="C10" t="s">
        <v>26</v>
      </c>
      <c r="D10" t="s">
        <v>39</v>
      </c>
      <c r="E10" s="11" t="str">
        <f>VLOOKUP(D10,productVL,2,FALSE)</f>
        <v>Cold</v>
      </c>
    </row>
    <row r="11" spans="1:7" x14ac:dyDescent="0.2">
      <c r="A11">
        <v>9</v>
      </c>
      <c r="B11" t="s">
        <v>81</v>
      </c>
      <c r="C11" t="s">
        <v>26</v>
      </c>
      <c r="D11" t="s">
        <v>43</v>
      </c>
      <c r="E11" s="11" t="str">
        <f>VLOOKUP(D11,productVL,2,FALSE)</f>
        <v>Hot</v>
      </c>
    </row>
    <row r="12" spans="1:7" x14ac:dyDescent="0.2">
      <c r="A12">
        <v>10</v>
      </c>
      <c r="B12" t="s">
        <v>82</v>
      </c>
      <c r="C12" t="s">
        <v>26</v>
      </c>
      <c r="D12" t="s">
        <v>40</v>
      </c>
      <c r="E12" s="11" t="str">
        <f>VLOOKUP(D12,productVL,2,FALSE)</f>
        <v>Hot</v>
      </c>
    </row>
    <row r="13" spans="1:7" x14ac:dyDescent="0.2">
      <c r="A13">
        <v>11</v>
      </c>
      <c r="B13" t="s">
        <v>83</v>
      </c>
      <c r="C13" t="s">
        <v>26</v>
      </c>
      <c r="D13" t="s">
        <v>28</v>
      </c>
      <c r="E13" s="11" t="str">
        <f>VLOOKUP(D13,productVL,2,FALSE)</f>
        <v>Hot</v>
      </c>
    </row>
    <row r="14" spans="1:7" x14ac:dyDescent="0.2">
      <c r="A14">
        <v>12</v>
      </c>
      <c r="B14" t="s">
        <v>84</v>
      </c>
      <c r="C14" t="s">
        <v>26</v>
      </c>
      <c r="D14" t="s">
        <v>41</v>
      </c>
      <c r="E14" s="11" t="str">
        <f>VLOOKUP(D14,productVL,2,FALSE)</f>
        <v>Hot</v>
      </c>
    </row>
    <row r="15" spans="1:7" x14ac:dyDescent="0.2">
      <c r="A15">
        <v>13</v>
      </c>
      <c r="B15" t="s">
        <v>85</v>
      </c>
      <c r="C15" t="s">
        <v>26</v>
      </c>
      <c r="D15" t="s">
        <v>27</v>
      </c>
      <c r="E15" s="11" t="str">
        <f>VLOOKUP(D15,productVL,2,FALSE)</f>
        <v>Cold</v>
      </c>
    </row>
    <row r="16" spans="1:7" x14ac:dyDescent="0.2">
      <c r="A16">
        <v>14</v>
      </c>
      <c r="B16" t="s">
        <v>86</v>
      </c>
      <c r="C16" t="s">
        <v>26</v>
      </c>
      <c r="D16" t="s">
        <v>38</v>
      </c>
      <c r="E16" s="11" t="str">
        <f>VLOOKUP(D16,productVL,2,FALSE)</f>
        <v>Hot</v>
      </c>
    </row>
    <row r="17" spans="1:5" x14ac:dyDescent="0.2">
      <c r="A17">
        <v>15</v>
      </c>
      <c r="B17" t="s">
        <v>87</v>
      </c>
      <c r="C17" t="s">
        <v>25</v>
      </c>
      <c r="D17" t="s">
        <v>39</v>
      </c>
      <c r="E17" s="11" t="str">
        <f>VLOOKUP(D17,productVL,2,FALSE)</f>
        <v>Cold</v>
      </c>
    </row>
    <row r="18" spans="1:5" x14ac:dyDescent="0.2">
      <c r="A18">
        <v>16</v>
      </c>
      <c r="B18" t="s">
        <v>88</v>
      </c>
      <c r="C18" t="s">
        <v>25</v>
      </c>
      <c r="D18" t="s">
        <v>43</v>
      </c>
      <c r="E18" s="11" t="str">
        <f>VLOOKUP(D18,productVL,2,FALSE)</f>
        <v>Hot</v>
      </c>
    </row>
    <row r="19" spans="1:5" x14ac:dyDescent="0.2">
      <c r="A19">
        <v>17</v>
      </c>
      <c r="B19" t="s">
        <v>89</v>
      </c>
      <c r="C19" t="s">
        <v>25</v>
      </c>
      <c r="D19" t="s">
        <v>40</v>
      </c>
      <c r="E19" s="11" t="str">
        <f>VLOOKUP(D19,productVL,2,FALSE)</f>
        <v>Hot</v>
      </c>
    </row>
    <row r="20" spans="1:5" x14ac:dyDescent="0.2">
      <c r="A20">
        <v>18</v>
      </c>
      <c r="B20" t="s">
        <v>90</v>
      </c>
      <c r="C20" t="s">
        <v>25</v>
      </c>
      <c r="D20" t="s">
        <v>28</v>
      </c>
      <c r="E20" s="11" t="str">
        <f>VLOOKUP(D20,productVL,2,FALSE)</f>
        <v>Hot</v>
      </c>
    </row>
    <row r="21" spans="1:5" x14ac:dyDescent="0.2">
      <c r="A21">
        <v>19</v>
      </c>
      <c r="B21" t="s">
        <v>91</v>
      </c>
      <c r="C21" t="s">
        <v>25</v>
      </c>
      <c r="D21" t="s">
        <v>41</v>
      </c>
      <c r="E21" s="11" t="str">
        <f>VLOOKUP(D21,productVL,2,FALSE)</f>
        <v>Hot</v>
      </c>
    </row>
    <row r="22" spans="1:5" x14ac:dyDescent="0.2">
      <c r="A22">
        <v>20</v>
      </c>
      <c r="B22" t="s">
        <v>92</v>
      </c>
      <c r="C22" t="s">
        <v>25</v>
      </c>
      <c r="D22" t="s">
        <v>27</v>
      </c>
      <c r="E22" s="11" t="str">
        <f>VLOOKUP(D22,productVL,2,FALSE)</f>
        <v>Cold</v>
      </c>
    </row>
    <row r="23" spans="1:5" x14ac:dyDescent="0.2">
      <c r="A23">
        <v>21</v>
      </c>
      <c r="B23" t="s">
        <v>93</v>
      </c>
      <c r="C23" t="s">
        <v>25</v>
      </c>
      <c r="D23" t="s">
        <v>38</v>
      </c>
      <c r="E23" s="11" t="str">
        <f>VLOOKUP(D23,productVL,2,FALSE)</f>
        <v>Hot</v>
      </c>
    </row>
    <row r="24" spans="1:5" x14ac:dyDescent="0.2">
      <c r="A24">
        <v>22</v>
      </c>
      <c r="B24" t="s">
        <v>94</v>
      </c>
      <c r="C24" t="s">
        <v>29</v>
      </c>
      <c r="D24" t="s">
        <v>39</v>
      </c>
      <c r="E24" s="11" t="str">
        <f>VLOOKUP(D24,productVL,2,FALSE)</f>
        <v>Cold</v>
      </c>
    </row>
    <row r="25" spans="1:5" x14ac:dyDescent="0.2">
      <c r="A25">
        <v>23</v>
      </c>
      <c r="B25" t="s">
        <v>95</v>
      </c>
      <c r="C25" t="s">
        <v>29</v>
      </c>
      <c r="D25" t="s">
        <v>43</v>
      </c>
      <c r="E25" s="11" t="str">
        <f>VLOOKUP(D25,productVL,2,FALSE)</f>
        <v>Hot</v>
      </c>
    </row>
    <row r="26" spans="1:5" x14ac:dyDescent="0.2">
      <c r="A26">
        <v>24</v>
      </c>
      <c r="B26" t="s">
        <v>96</v>
      </c>
      <c r="C26" t="s">
        <v>29</v>
      </c>
      <c r="D26" t="s">
        <v>40</v>
      </c>
      <c r="E26" s="11" t="str">
        <f>VLOOKUP(D26,productVL,2,FALSE)</f>
        <v>Hot</v>
      </c>
    </row>
    <row r="27" spans="1:5" x14ac:dyDescent="0.2">
      <c r="A27">
        <v>25</v>
      </c>
      <c r="B27" t="s">
        <v>97</v>
      </c>
      <c r="C27" t="s">
        <v>29</v>
      </c>
      <c r="D27" t="s">
        <v>28</v>
      </c>
      <c r="E27" s="11" t="str">
        <f>VLOOKUP(D27,productVL,2,FALSE)</f>
        <v>Hot</v>
      </c>
    </row>
    <row r="28" spans="1:5" x14ac:dyDescent="0.2">
      <c r="A28">
        <v>26</v>
      </c>
      <c r="B28" t="s">
        <v>98</v>
      </c>
      <c r="C28" t="s">
        <v>29</v>
      </c>
      <c r="D28" t="s">
        <v>41</v>
      </c>
      <c r="E28" s="11" t="str">
        <f>VLOOKUP(D28,productVL,2,FALSE)</f>
        <v>Hot</v>
      </c>
    </row>
    <row r="29" spans="1:5" x14ac:dyDescent="0.2">
      <c r="A29">
        <v>27</v>
      </c>
      <c r="B29" t="s">
        <v>99</v>
      </c>
      <c r="C29" t="s">
        <v>29</v>
      </c>
      <c r="D29" t="s">
        <v>27</v>
      </c>
      <c r="E29" s="11" t="str">
        <f>VLOOKUP(D29,productVL,2,FALSE)</f>
        <v>Cold</v>
      </c>
    </row>
    <row r="30" spans="1:5" x14ac:dyDescent="0.2">
      <c r="A30">
        <v>28</v>
      </c>
      <c r="B30" t="s">
        <v>100</v>
      </c>
      <c r="C30" t="s">
        <v>29</v>
      </c>
      <c r="D30" t="s">
        <v>38</v>
      </c>
      <c r="E30" s="11" t="str">
        <f>VLOOKUP(D30,productVL,2,FALSE)</f>
        <v>Hot</v>
      </c>
    </row>
    <row r="33" spans="2:2" x14ac:dyDescent="0.2">
      <c r="B33" s="9" t="s">
        <v>110</v>
      </c>
    </row>
    <row r="34" spans="2:2" x14ac:dyDescent="0.2">
      <c r="B34" s="9" t="s">
        <v>103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E527-CAD8-401C-885E-0503D9C9BB9E}">
  <dimension ref="B2:C9"/>
  <sheetViews>
    <sheetView workbookViewId="0">
      <selection activeCell="C4" sqref="C4"/>
    </sheetView>
  </sheetViews>
  <sheetFormatPr defaultRowHeight="12.75" x14ac:dyDescent="0.2"/>
  <sheetData>
    <row r="2" spans="2:3" x14ac:dyDescent="0.2">
      <c r="B2" t="s">
        <v>33</v>
      </c>
      <c r="C2" t="s">
        <v>102</v>
      </c>
    </row>
    <row r="3" spans="2:3" x14ac:dyDescent="0.2">
      <c r="B3" t="s">
        <v>39</v>
      </c>
      <c r="C3" t="s">
        <v>71</v>
      </c>
    </row>
    <row r="4" spans="2:3" x14ac:dyDescent="0.2">
      <c r="B4" t="s">
        <v>43</v>
      </c>
      <c r="C4" t="s">
        <v>101</v>
      </c>
    </row>
    <row r="5" spans="2:3" x14ac:dyDescent="0.2">
      <c r="B5" t="s">
        <v>40</v>
      </c>
      <c r="C5" t="s">
        <v>101</v>
      </c>
    </row>
    <row r="6" spans="2:3" x14ac:dyDescent="0.2">
      <c r="B6" t="s">
        <v>28</v>
      </c>
      <c r="C6" t="s">
        <v>101</v>
      </c>
    </row>
    <row r="7" spans="2:3" x14ac:dyDescent="0.2">
      <c r="B7" t="s">
        <v>41</v>
      </c>
      <c r="C7" t="s">
        <v>101</v>
      </c>
    </row>
    <row r="8" spans="2:3" x14ac:dyDescent="0.2">
      <c r="B8" t="s">
        <v>27</v>
      </c>
      <c r="C8" t="s">
        <v>71</v>
      </c>
    </row>
    <row r="9" spans="2:3" x14ac:dyDescent="0.2">
      <c r="B9" t="s">
        <v>38</v>
      </c>
      <c r="C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Data</vt:lpstr>
      <vt:lpstr>dimDate</vt:lpstr>
      <vt:lpstr>dimStore</vt:lpstr>
      <vt:lpstr>dimCustomer</vt:lpstr>
      <vt:lpstr>dimProduct</vt:lpstr>
      <vt:lpstr>Auxiliar</vt:lpstr>
      <vt:lpstr>productVL</vt:lpstr>
      <vt:lpstr>productVLwithtitle</vt:lpstr>
    </vt:vector>
  </TitlesOfParts>
  <Company>Universidade de Lisboa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HyperVending</dc:title>
  <dc:subject>Tecnologias de Processamento de Dados</dc:subject>
  <dc:creator>António Ferreira;André Falcão</dc:creator>
  <cp:lastModifiedBy>Eow</cp:lastModifiedBy>
  <cp:lastPrinted>2022-03-22T17:15:36Z</cp:lastPrinted>
  <dcterms:created xsi:type="dcterms:W3CDTF">2006-03-06T11:59:46Z</dcterms:created>
  <dcterms:modified xsi:type="dcterms:W3CDTF">2022-04-05T16:55:47Z</dcterms:modified>
</cp:coreProperties>
</file>